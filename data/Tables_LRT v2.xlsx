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mc:AlternateContent xmlns:mc="http://schemas.openxmlformats.org/markup-compatibility/2006">
    <mc:Choice Requires="x15">
      <x15ac:absPath xmlns:x15ac="http://schemas.microsoft.com/office/spreadsheetml/2010/11/ac" url="https://easternresearchgroup.sharepoint.com/sites/ERGLCA/Shared Documents/Integrated Sustainability ORD SSWW/OY2 Manuscripts/LRT/Data Dictionary Submittal/"/>
    </mc:Choice>
  </mc:AlternateContent>
  <xr:revisionPtr revIDLastSave="58" documentId="8_{4F3C2498-CCE3-41FC-B496-A8120E9474F7}" xr6:coauthVersionLast="47" xr6:coauthVersionMax="47" xr10:uidLastSave="{F2819AB4-6A62-4E75-9A47-B6E0EAC8CD3B}"/>
  <bookViews>
    <workbookView xWindow="-120" yWindow="-16320" windowWidth="29040" windowHeight="15720" xr2:uid="{00000000-000D-0000-FFFF-FFFF00000000}"/>
  </bookViews>
  <sheets>
    <sheet name="Data Dictionary" sheetId="11" r:id="rId1"/>
    <sheet name="Table 1" sheetId="1" r:id="rId2"/>
    <sheet name="SI Table 1" sheetId="4" r:id="rId3"/>
    <sheet name="SI Table 2" sheetId="5" r:id="rId4"/>
    <sheet name="SI Table 3" sheetId="6" r:id="rId5"/>
    <sheet name="SI Table 4" sheetId="7" r:id="rId6"/>
    <sheet name="SI Table 5" sheetId="12" r:id="rId7"/>
    <sheet name="SI Table 6" sheetId="9" r:id="rId8"/>
    <sheet name="SI Table 7" sheetId="10" r:id="rId9"/>
    <sheet name="word count" sheetId="8"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8" l="1"/>
  <c r="E8" i="8"/>
  <c r="E9" i="8" s="1"/>
  <c r="D9" i="8"/>
  <c r="D8" i="8"/>
</calcChain>
</file>

<file path=xl/sharedStrings.xml><?xml version="1.0" encoding="utf-8"?>
<sst xmlns="http://schemas.openxmlformats.org/spreadsheetml/2006/main" count="421" uniqueCount="339">
  <si>
    <t>Table 1</t>
  </si>
  <si>
    <t>Treatment Train</t>
  </si>
  <si>
    <t>CA-2</t>
  </si>
  <si>
    <t>2022 Inf</t>
  </si>
  <si>
    <t>Free Chlorine (mg-min/L)</t>
  </si>
  <si>
    <t>Mixed Wastewater</t>
  </si>
  <si>
    <t>2017-1</t>
  </si>
  <si>
    <t>2017-2</t>
  </si>
  <si>
    <t>none</t>
  </si>
  <si>
    <t>CA-1, DALY &amp; 2022 Inf</t>
  </si>
  <si>
    <t>CA, 2017 &amp; DALY</t>
  </si>
  <si>
    <t>Data Item</t>
  </si>
  <si>
    <t>Scale</t>
  </si>
  <si>
    <t>Year</t>
  </si>
  <si>
    <t>Source</t>
  </si>
  <si>
    <t>Monthly Reference Evapotranspiration</t>
  </si>
  <si>
    <t>eGRID Subregion Boundaries</t>
  </si>
  <si>
    <t>Natural Gas Rates</t>
  </si>
  <si>
    <t>Subregion</t>
  </si>
  <si>
    <t>State</t>
  </si>
  <si>
    <t>Electricity Rates</t>
  </si>
  <si>
    <t>Water Rates</t>
  </si>
  <si>
    <t>Utility</t>
  </si>
  <si>
    <t>ZIP Code</t>
  </si>
  <si>
    <t>Monthly Precipitation - Puerto Rico</t>
  </si>
  <si>
    <t>1991-2020</t>
  </si>
  <si>
    <t>1963-1995</t>
  </si>
  <si>
    <t>Raster - 800 m</t>
  </si>
  <si>
    <t>Raster - 450 m</t>
  </si>
  <si>
    <t>Raster - 19 km</t>
  </si>
  <si>
    <t>1961-1990</t>
  </si>
  <si>
    <r>
      <t>UV Dose (mJ/cm</t>
    </r>
    <r>
      <rPr>
        <b/>
        <sz val="10"/>
        <color theme="1"/>
        <rFont val="Calibri"/>
        <family val="2"/>
      </rPr>
      <t>³)</t>
    </r>
  </si>
  <si>
    <t>Cost</t>
  </si>
  <si>
    <t>Parameter</t>
  </si>
  <si>
    <t>Units</t>
  </si>
  <si>
    <t>Sanitron UV Reactors</t>
  </si>
  <si>
    <t>Trojan VIQUA Pro</t>
  </si>
  <si>
    <t>S17A</t>
  </si>
  <si>
    <t>S23A</t>
  </si>
  <si>
    <t>S37C</t>
  </si>
  <si>
    <t>S50C</t>
  </si>
  <si>
    <t>Pro10</t>
  </si>
  <si>
    <t>Pro20</t>
  </si>
  <si>
    <t>Pro30</t>
  </si>
  <si>
    <t>Design Dose</t>
  </si>
  <si>
    <t>mJ/cm²</t>
  </si>
  <si>
    <t>&gt;30</t>
  </si>
  <si>
    <t>W</t>
  </si>
  <si>
    <t>Design Flow</t>
  </si>
  <si>
    <t>GPM</t>
  </si>
  <si>
    <t>Energy Use</t>
  </si>
  <si>
    <t>kWh/m³</t>
  </si>
  <si>
    <t>kWh/m³ per 40 mJ/cm²</t>
  </si>
  <si>
    <t>Mass</t>
  </si>
  <si>
    <t>kg</t>
  </si>
  <si>
    <t>kg per 40 mJ/cm²</t>
  </si>
  <si>
    <t>2024 $</t>
  </si>
  <si>
    <t>2024 $ per 40 mJ/cm²</t>
  </si>
  <si>
    <t>Rated Effective Life</t>
  </si>
  <si>
    <t>hours</t>
  </si>
  <si>
    <t>Maintenance % of Capital</t>
  </si>
  <si>
    <t>%</t>
  </si>
  <si>
    <t>a - including ballast loss</t>
  </si>
  <si>
    <t>b - includes bulb, quartz sleeve, washers, o-rings</t>
  </si>
  <si>
    <r>
      <t>Power Consumption</t>
    </r>
    <r>
      <rPr>
        <vertAlign val="superscript"/>
        <sz val="10"/>
        <color theme="1"/>
        <rFont val="Calibri"/>
        <family val="2"/>
      </rPr>
      <t>a</t>
    </r>
  </si>
  <si>
    <r>
      <t>Maintenance Kit Cost</t>
    </r>
    <r>
      <rPr>
        <vertAlign val="superscript"/>
        <sz val="10"/>
        <color theme="1"/>
        <rFont val="Calibri"/>
        <family val="2"/>
      </rPr>
      <t>b</t>
    </r>
  </si>
  <si>
    <t>CT (mg-min/L)</t>
  </si>
  <si>
    <t>Free Chlorine Dose (mg/L)</t>
  </si>
  <si>
    <t>Residual (mg/L)</t>
  </si>
  <si>
    <t>15% NaOCl Dose (kg/gal)</t>
  </si>
  <si>
    <t>RWH and ACH</t>
  </si>
  <si>
    <t>&gt;1</t>
  </si>
  <si>
    <t>GW MBR</t>
  </si>
  <si>
    <t>WW MBR</t>
  </si>
  <si>
    <t>Flow</t>
  </si>
  <si>
    <t>Pipe Size and Type</t>
  </si>
  <si>
    <t>RW/AC</t>
  </si>
  <si>
    <t>GW</t>
  </si>
  <si>
    <t>WW</t>
  </si>
  <si>
    <t>Greywater Collection</t>
  </si>
  <si>
    <t>2" PVC</t>
  </si>
  <si>
    <t> --</t>
  </si>
  <si>
    <t>Morelli et al., 2019</t>
  </si>
  <si>
    <t>Rainwater &amp; Condensate Collection</t>
  </si>
  <si>
    <t>Ghimire et al., 2019</t>
  </si>
  <si>
    <t>Reuse Distribution, Full</t>
  </si>
  <si>
    <t>1" PEX</t>
  </si>
  <si>
    <t>1/2" PEX</t>
  </si>
  <si>
    <t>Reuse Distribution, Irrigation Only</t>
  </si>
  <si>
    <t>Assumed</t>
  </si>
  <si>
    <r>
      <t>Monthly Precipitation - Contiguous U.S.</t>
    </r>
    <r>
      <rPr>
        <vertAlign val="superscript"/>
        <sz val="11"/>
        <color theme="1"/>
        <rFont val="Calibri"/>
        <family val="2"/>
      </rPr>
      <t>a</t>
    </r>
  </si>
  <si>
    <t>(PRISM Climate Group, 2021)</t>
  </si>
  <si>
    <t>(PRISM Climate Group, 2002)</t>
  </si>
  <si>
    <t>(UN FAO, 2004)</t>
  </si>
  <si>
    <t>(EPA, 2022)</t>
  </si>
  <si>
    <t>(EIA, 2023)</t>
  </si>
  <si>
    <t>(NREL, 2024)</t>
  </si>
  <si>
    <t>(AWWA, 2021)</t>
  </si>
  <si>
    <t>a – No updates available for Hawaii or Alaska PRISM files (PRISM Climate Group, 2018, 2006)</t>
  </si>
  <si>
    <t>Introduction</t>
  </si>
  <si>
    <t>Methods</t>
  </si>
  <si>
    <t>Results</t>
  </si>
  <si>
    <t>Discussion</t>
  </si>
  <si>
    <t>Tables &amp; Figures</t>
  </si>
  <si>
    <r>
      <t>Greywater</t>
    </r>
    <r>
      <rPr>
        <vertAlign val="superscript"/>
        <sz val="10"/>
        <color theme="1"/>
        <rFont val="Calibri"/>
        <family val="2"/>
        <scheme val="minor"/>
      </rPr>
      <t>b</t>
    </r>
  </si>
  <si>
    <r>
      <t>Roof Runoff</t>
    </r>
    <r>
      <rPr>
        <vertAlign val="superscript"/>
        <sz val="10"/>
        <color theme="1"/>
        <rFont val="Calibri"/>
        <family val="2"/>
        <scheme val="minor"/>
      </rPr>
      <t>a</t>
    </r>
  </si>
  <si>
    <t>b - CA-3 is not included as it specifies a microfilter instead of a membrane bioreactor, which cannot be modeled in the current version of NEWR.</t>
  </si>
  <si>
    <t>a - Roof runoff treatment requirements are assumed applicable to rainwater and air-conditioner condensate harvesting systems</t>
  </si>
  <si>
    <t>Cartridge filter + UV</t>
  </si>
  <si>
    <t>MBR + UV + Chlorine</t>
  </si>
  <si>
    <t>MBR + UV</t>
  </si>
  <si>
    <t>Process Composition</t>
  </si>
  <si>
    <t>Polypropylene (PP) Virgin Resin</t>
  </si>
  <si>
    <t>High-density Polyethylene (HDPE) Virgin Resin</t>
  </si>
  <si>
    <t>Linear Low-density Polyethylene (LLDPE) Virgin Resin</t>
  </si>
  <si>
    <t>PP Injection Molding</t>
  </si>
  <si>
    <t>Sodium Tripolyphosphate</t>
  </si>
  <si>
    <t>Chlorine</t>
  </si>
  <si>
    <t>Liquid Ammonia</t>
  </si>
  <si>
    <t>Sodium Hypochlorite, 15%</t>
  </si>
  <si>
    <t>R-134a Emissions</t>
  </si>
  <si>
    <t>Disposal, rigid plastics in landfill</t>
  </si>
  <si>
    <t>Primary Aluminum</t>
  </si>
  <si>
    <t>Brass</t>
  </si>
  <si>
    <t>Copper</t>
  </si>
  <si>
    <t>Steel</t>
  </si>
  <si>
    <t>Stainless Steel</t>
  </si>
  <si>
    <t>Screenings Disposal</t>
  </si>
  <si>
    <t>PVDF</t>
  </si>
  <si>
    <t>Concrete</t>
  </si>
  <si>
    <t>m3</t>
  </si>
  <si>
    <t>Sludge to Central WWTP</t>
  </si>
  <si>
    <t>HDPE Tank**</t>
  </si>
  <si>
    <t>Synthetic Butyl Rubber</t>
  </si>
  <si>
    <t>Glass Fibre</t>
  </si>
  <si>
    <t>Stretch film extrusion/US</t>
  </si>
  <si>
    <t>Rolled Steel (16 Gauge)*</t>
  </si>
  <si>
    <t>Food grade reinforced plastic hose</t>
  </si>
  <si>
    <t>CPVC pipe, small drinking water**</t>
  </si>
  <si>
    <t>HDPE pipe, 8" drinking water**</t>
  </si>
  <si>
    <t>PVC pipe, small drinking water**</t>
  </si>
  <si>
    <t>PEX pipe, small drinking water**</t>
  </si>
  <si>
    <t>Process Emissions Biogenic Methane</t>
  </si>
  <si>
    <t>Process Emissions Nitrous Oxide</t>
  </si>
  <si>
    <t>Injection Molded PP Part (Full Life Cycle)**</t>
  </si>
  <si>
    <t>Barge Transport</t>
  </si>
  <si>
    <t>tkm</t>
  </si>
  <si>
    <t>Truck Transport</t>
  </si>
  <si>
    <t>Rail Transport</t>
  </si>
  <si>
    <t xml:space="preserve">Sodium Hydroxide, 50% </t>
  </si>
  <si>
    <t>Natural gas in an industrial boiler</t>
  </si>
  <si>
    <t>Material transport to conversion (truck)</t>
  </si>
  <si>
    <t>Part transport to assembly (truck)</t>
  </si>
  <si>
    <t>PP Liner</t>
  </si>
  <si>
    <t>Aluminum Sulfate powder</t>
  </si>
  <si>
    <t>Iron Sulfate</t>
  </si>
  <si>
    <t>Lime</t>
  </si>
  <si>
    <t>Sand</t>
  </si>
  <si>
    <t>kg cBOD</t>
  </si>
  <si>
    <t xml:space="preserve">*Includes raw material and converting stages </t>
  </si>
  <si>
    <t>**Includes full life cycle impacts</t>
  </si>
  <si>
    <t>Inventory Name</t>
  </si>
  <si>
    <t>Unit</t>
  </si>
  <si>
    <t>Global Warming Potential (kg CO2 eq.)</t>
  </si>
  <si>
    <t>Total Energy Demand (MJ)</t>
  </si>
  <si>
    <t>Fossil Fuel Depletion (kg oil eq.)</t>
  </si>
  <si>
    <t>Water Consumption (liters H2O)</t>
  </si>
  <si>
    <t>Water Scarcity (liters H2O deprivation)</t>
  </si>
  <si>
    <t>DALY</t>
  </si>
  <si>
    <t>eGRID Subregion Name</t>
  </si>
  <si>
    <t>eGRID Subregion Acronymn</t>
  </si>
  <si>
    <t>Global Warming Potential 
(kg CO2 eq/kWh)</t>
  </si>
  <si>
    <t>Total Energy Demand (MJ/kWh)</t>
  </si>
  <si>
    <t>Fossil Fuel Depletion (kg oil eq/kWh)</t>
  </si>
  <si>
    <t>Water Consumption (Liters H2O/kWh)</t>
  </si>
  <si>
    <t>Water Scarcity (Liters H2O deprivation/kWh)</t>
  </si>
  <si>
    <t>ASCC Alaska Grid</t>
  </si>
  <si>
    <t>AKGD</t>
  </si>
  <si>
    <t>ASCC Miscellaneous</t>
  </si>
  <si>
    <t>AKMS</t>
  </si>
  <si>
    <t>WECC Southwest</t>
  </si>
  <si>
    <t>AZNM</t>
  </si>
  <si>
    <t>WECC California</t>
  </si>
  <si>
    <t>CAMX</t>
  </si>
  <si>
    <t>ERCOT All</t>
  </si>
  <si>
    <t>ERCT</t>
  </si>
  <si>
    <t>FRCC All</t>
  </si>
  <si>
    <t>FRCC</t>
  </si>
  <si>
    <t>HICC Miscellaneous</t>
  </si>
  <si>
    <t>HIMS</t>
  </si>
  <si>
    <t>HICC Oahu</t>
  </si>
  <si>
    <t>HIOA</t>
  </si>
  <si>
    <t>MRO East</t>
  </si>
  <si>
    <t>MROE</t>
  </si>
  <si>
    <t>MRO West</t>
  </si>
  <si>
    <t>MROW</t>
  </si>
  <si>
    <t>NPCC New England</t>
  </si>
  <si>
    <t>NEWE</t>
  </si>
  <si>
    <t>WECC Northwest</t>
  </si>
  <si>
    <t>NWPP</t>
  </si>
  <si>
    <t>NPCC NYC/Westchester</t>
  </si>
  <si>
    <t>NYCW</t>
  </si>
  <si>
    <t>NPCC Long Island</t>
  </si>
  <si>
    <t>NYLI</t>
  </si>
  <si>
    <t>NPCC Upstate NY</t>
  </si>
  <si>
    <t>NYUP</t>
  </si>
  <si>
    <t>RFC East</t>
  </si>
  <si>
    <t>RFCE</t>
  </si>
  <si>
    <t>RFC Michigan</t>
  </si>
  <si>
    <t>RFCM</t>
  </si>
  <si>
    <t>RFC West</t>
  </si>
  <si>
    <t>RFCW</t>
  </si>
  <si>
    <t>WECC Rockies</t>
  </si>
  <si>
    <t>RMPA</t>
  </si>
  <si>
    <t>SPP North</t>
  </si>
  <si>
    <t>SPNO</t>
  </si>
  <si>
    <t>SPP South</t>
  </si>
  <si>
    <t>SPSO</t>
  </si>
  <si>
    <t>SERC Mississippi Valley</t>
  </si>
  <si>
    <t>SRMV</t>
  </si>
  <si>
    <t>SERC Midwest</t>
  </si>
  <si>
    <t>SRMW</t>
  </si>
  <si>
    <t>SERC South</t>
  </si>
  <si>
    <t>SRSO</t>
  </si>
  <si>
    <t>SERC Tennessee Valley</t>
  </si>
  <si>
    <t>SRTV</t>
  </si>
  <si>
    <t>SERC Virginia/Carolina</t>
  </si>
  <si>
    <t>SRVC</t>
  </si>
  <si>
    <t>PRMS Puerto Rico</t>
  </si>
  <si>
    <t>Average US</t>
  </si>
  <si>
    <t>PRMS</t>
  </si>
  <si>
    <t>c – dosage is greater than for 2022 Inf, but assumed to be 12 for this analysis</t>
  </si>
  <si>
    <t>Total document</t>
  </si>
  <si>
    <t>Disability-Adjusted Life Year</t>
  </si>
  <si>
    <t>UV</t>
  </si>
  <si>
    <t>MBR</t>
  </si>
  <si>
    <t>RWH</t>
  </si>
  <si>
    <t>ACH</t>
  </si>
  <si>
    <t>Rainwater harvesting</t>
  </si>
  <si>
    <t>CT</t>
  </si>
  <si>
    <t>Contact time</t>
  </si>
  <si>
    <t>PVC</t>
  </si>
  <si>
    <t>PEX</t>
  </si>
  <si>
    <t>AR</t>
  </si>
  <si>
    <t xml:space="preserve">air-conditioning condensate harvesting </t>
  </si>
  <si>
    <t xml:space="preserve">combined rainwater and air-conditioning condensate harvesting </t>
  </si>
  <si>
    <t>Source: NBRC, 2023. Health Risk-based Benchmarks for Onsite Treatment of Water. National Blue Ribbon Commission for Onsite Non-potable Water Systems.</t>
  </si>
  <si>
    <t>Table S1. UV unit process characteristics of two sample product lines</t>
  </si>
  <si>
    <t>Table S2. Chlorine dosages required to achieve a range of chlorine contact times.</t>
  </si>
  <si>
    <t>Table S3. Collection and distribution pipe diameter, material and length assumptions. Pipe lengths in meters per square meter of effective building area. Effective building area calculated as the building footprint multiplied by the number of floors.</t>
  </si>
  <si>
    <t>Table S4. Updated geographic datasets.</t>
  </si>
  <si>
    <t>Building Type</t>
  </si>
  <si>
    <t>Rate Category</t>
  </si>
  <si>
    <t>Puerto Rico</t>
  </si>
  <si>
    <t>$/1000 gallons</t>
  </si>
  <si>
    <t>Residential</t>
  </si>
  <si>
    <t>5/8-inch Meter, Residential (3,740 gal/month)</t>
  </si>
  <si>
    <t>$8.80 ($2.08-27.12)</t>
  </si>
  <si>
    <t>Commercial</t>
  </si>
  <si>
    <t>2-inch Meter, Commercial/Light Industrial (374,000 gal/month)</t>
  </si>
  <si>
    <t>$5.48 ($0.06-22.22)</t>
  </si>
  <si>
    <t>National Median (min-max)</t>
  </si>
  <si>
    <t>Table S5. Drinking water utility rates (AWWA, 2021)</t>
  </si>
  <si>
    <t>Table S6. Standardized impact emission factors for NEWR life cycle inventory items.</t>
  </si>
  <si>
    <t>Polyvinylidene fluoride (PVDF)</t>
  </si>
  <si>
    <t>Table S7. Electricity grid emission factors</t>
  </si>
  <si>
    <t>DALY (DALY/kWh)</t>
  </si>
  <si>
    <t>Acronym or Abbreviation</t>
  </si>
  <si>
    <t>Description</t>
  </si>
  <si>
    <t>ach</t>
  </si>
  <si>
    <t>appl_char</t>
  </si>
  <si>
    <t>appliance characteristics (standard efficiency or high efficiency)</t>
  </si>
  <si>
    <t>ar</t>
  </si>
  <si>
    <t>ced</t>
  </si>
  <si>
    <t>cumulative energy demand</t>
  </si>
  <si>
    <t>cfm</t>
  </si>
  <si>
    <t>cubic feet per minute</t>
  </si>
  <si>
    <r>
      <t>cm</t>
    </r>
    <r>
      <rPr>
        <sz val="11"/>
        <color theme="1"/>
        <rFont val="Aptos Narrow"/>
        <family val="2"/>
      </rPr>
      <t>²</t>
    </r>
  </si>
  <si>
    <t>centimeter squared</t>
  </si>
  <si>
    <t>CPVC</t>
  </si>
  <si>
    <t>chlorinated polyvinyl chloride</t>
  </si>
  <si>
    <t>disability-adjusted life year</t>
  </si>
  <si>
    <t>demand_np_annual</t>
  </si>
  <si>
    <t>annual non-potable demand (gal/year)</t>
  </si>
  <si>
    <t>dt</t>
  </si>
  <si>
    <t>DALYs</t>
  </si>
  <si>
    <t>elec_rate</t>
  </si>
  <si>
    <t>electricity rate ($/kWh)</t>
  </si>
  <si>
    <t>eq.</t>
  </si>
  <si>
    <t>equivalent</t>
  </si>
  <si>
    <t>ffd</t>
  </si>
  <si>
    <t>fossil fuel depletion</t>
  </si>
  <si>
    <t>gal</t>
  </si>
  <si>
    <t>gallon</t>
  </si>
  <si>
    <t>gpm</t>
  </si>
  <si>
    <t>gallon per minute</t>
  </si>
  <si>
    <t>greywater</t>
  </si>
  <si>
    <t>GWMBR</t>
  </si>
  <si>
    <t>Graywater membrane bioreactor</t>
  </si>
  <si>
    <t>gwp</t>
  </si>
  <si>
    <t>global warming potential</t>
  </si>
  <si>
    <t>HDPE</t>
  </si>
  <si>
    <t>high-density polyethylene</t>
  </si>
  <si>
    <t>kilogram</t>
  </si>
  <si>
    <t>kWh</t>
  </si>
  <si>
    <t>kilowatt hour</t>
  </si>
  <si>
    <r>
      <t>m</t>
    </r>
    <r>
      <rPr>
        <vertAlign val="superscript"/>
        <sz val="11"/>
        <color theme="1"/>
        <rFont val="Calibri"/>
        <family val="2"/>
        <scheme val="minor"/>
      </rPr>
      <t>3</t>
    </r>
  </si>
  <si>
    <t>cubic meter</t>
  </si>
  <si>
    <t>membrane bioreactor</t>
  </si>
  <si>
    <t>mg-min/L</t>
  </si>
  <si>
    <t>milligram-minute/liter (a measure of free chlorine contact time)</t>
  </si>
  <si>
    <t>mJ</t>
  </si>
  <si>
    <t>milliJoule</t>
  </si>
  <si>
    <t>NaOCl</t>
  </si>
  <si>
    <t>sodium hypochlorite</t>
  </si>
  <si>
    <t>ng_rate</t>
  </si>
  <si>
    <t>natural gas rate ($/m3)</t>
  </si>
  <si>
    <t>npv</t>
  </si>
  <si>
    <t>net present value</t>
  </si>
  <si>
    <t>cross-linked polyethylene</t>
  </si>
  <si>
    <t>precip_ann</t>
  </si>
  <si>
    <t>annual precipitation (in/year)</t>
  </si>
  <si>
    <t>polyvinyl chloride</t>
  </si>
  <si>
    <t>polyvinylidene fluoride</t>
  </si>
  <si>
    <t>rate_dw</t>
  </si>
  <si>
    <t>drinking water rate ($/gallon)</t>
  </si>
  <si>
    <t>rainwater harvesting</t>
  </si>
  <si>
    <t>rwh</t>
  </si>
  <si>
    <t>TT</t>
  </si>
  <si>
    <t>treatment train</t>
  </si>
  <si>
    <t>ultraviolet</t>
  </si>
  <si>
    <t>watt</t>
  </si>
  <si>
    <t>wc</t>
  </si>
  <si>
    <t>water consumption</t>
  </si>
  <si>
    <t>ws</t>
  </si>
  <si>
    <t>water scarcity</t>
  </si>
  <si>
    <t>wastewater</t>
  </si>
  <si>
    <t>WWMBR</t>
  </si>
  <si>
    <t>Wastewater membrane bioreactor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</si>
</sst>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0.0"/>
  </numFmts>
  <fonts count="19" x14ac:knownFonts="1">
    <font>
      <sz val="11"/>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b/>
      <sz val="10"/>
      <color theme="1"/>
      <name val="Calibri"/>
      <family val="2"/>
    </font>
    <font>
      <vertAlign val="superscript"/>
      <sz val="10"/>
      <color theme="1"/>
      <name val="Calibri"/>
      <family val="2"/>
      <scheme val="minor"/>
    </font>
    <font>
      <sz val="11"/>
      <color theme="1"/>
      <name val="Calibri"/>
      <family val="2"/>
    </font>
    <font>
      <sz val="11"/>
      <color rgb="FF000000"/>
      <name val="Calibri"/>
      <family val="2"/>
    </font>
    <font>
      <vertAlign val="superscript"/>
      <sz val="11"/>
      <color theme="1"/>
      <name val="Calibri"/>
      <family val="2"/>
    </font>
    <font>
      <vertAlign val="superscript"/>
      <sz val="10"/>
      <color theme="1"/>
      <name val="Calibri"/>
      <family val="2"/>
    </font>
    <font>
      <sz val="10"/>
      <color rgb="FF000000"/>
      <name val="Calibri"/>
      <family val="2"/>
    </font>
    <font>
      <sz val="10"/>
      <color theme="1"/>
      <name val="Calibri"/>
      <family val="2"/>
    </font>
    <font>
      <i/>
      <sz val="10"/>
      <color theme="1"/>
      <name val="Calibri"/>
      <family val="2"/>
      <scheme val="minor"/>
    </font>
    <font>
      <b/>
      <sz val="9"/>
      <color theme="1"/>
      <name val="Calibri"/>
      <family val="2"/>
      <scheme val="minor"/>
    </font>
    <font>
      <sz val="9"/>
      <color theme="1"/>
      <name val="Calibri"/>
      <family val="2"/>
      <scheme val="minor"/>
    </font>
    <font>
      <b/>
      <sz val="11"/>
      <color theme="1"/>
      <name val="Calibri"/>
      <family val="2"/>
      <scheme val="minor"/>
    </font>
    <font>
      <b/>
      <sz val="10"/>
      <color rgb="FF000000"/>
      <name val="Calibri"/>
      <family val="2"/>
    </font>
    <font>
      <sz val="11"/>
      <color theme="1"/>
      <name val="Aptos Narrow"/>
      <family val="2"/>
    </font>
    <font>
      <vertAlign val="superscript"/>
      <sz val="11"/>
      <color theme="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D9D9D9"/>
        <bgColor indexed="64"/>
      </patternFill>
    </fill>
    <fill>
      <patternFill patternType="solid">
        <fgColor rgb="FFFFFFFF"/>
        <bgColor indexed="64"/>
      </patternFill>
    </fill>
    <fill>
      <patternFill patternType="solid">
        <fgColor rgb="FFDBDBDB"/>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46">
    <xf numFmtId="0" fontId="0" fillId="0" borderId="0" xfId="0"/>
    <xf numFmtId="0" fontId="2" fillId="2" borderId="1" xfId="0" applyFont="1" applyFill="1" applyBorder="1" applyAlignment="1">
      <alignment horizontal="center"/>
    </xf>
    <xf numFmtId="0" fontId="3" fillId="0" borderId="1" xfId="0" applyFont="1" applyBorder="1"/>
    <xf numFmtId="0" fontId="3" fillId="0" borderId="1" xfId="0" applyFont="1" applyBorder="1" applyAlignment="1">
      <alignment horizontal="center"/>
    </xf>
    <xf numFmtId="0" fontId="3" fillId="0" borderId="0" xfId="0" applyFont="1"/>
    <xf numFmtId="0" fontId="2" fillId="2" borderId="1" xfId="0" applyFont="1" applyFill="1" applyBorder="1" applyAlignment="1">
      <alignment horizontal="center" wrapText="1"/>
    </xf>
    <xf numFmtId="0" fontId="3" fillId="0" borderId="1" xfId="0" applyFont="1" applyBorder="1" applyAlignment="1">
      <alignment horizontal="left"/>
    </xf>
    <xf numFmtId="0" fontId="10" fillId="3" borderId="1" xfId="0" applyFont="1" applyFill="1" applyBorder="1" applyAlignment="1">
      <alignment horizontal="center" vertical="center"/>
    </xf>
    <xf numFmtId="0" fontId="11" fillId="0" borderId="1" xfId="0" applyFont="1" applyBorder="1" applyAlignment="1">
      <alignment vertical="center" wrapText="1"/>
    </xf>
    <xf numFmtId="0" fontId="11" fillId="0" borderId="1" xfId="0" applyFont="1" applyBorder="1" applyAlignment="1">
      <alignment vertical="center"/>
    </xf>
    <xf numFmtId="6" fontId="11" fillId="0" borderId="1" xfId="0" applyNumberFormat="1" applyFont="1" applyBorder="1" applyAlignment="1">
      <alignment vertical="center"/>
    </xf>
    <xf numFmtId="3" fontId="11" fillId="0" borderId="1" xfId="0" applyNumberFormat="1" applyFont="1" applyBorder="1" applyAlignment="1">
      <alignment vertical="center"/>
    </xf>
    <xf numFmtId="10" fontId="11" fillId="0" borderId="1" xfId="0" applyNumberFormat="1" applyFont="1" applyBorder="1" applyAlignment="1">
      <alignment vertical="center"/>
    </xf>
    <xf numFmtId="0" fontId="10" fillId="3" borderId="1" xfId="0" applyFont="1" applyFill="1" applyBorder="1" applyAlignment="1">
      <alignment horizontal="center" vertical="center" wrapText="1"/>
    </xf>
    <xf numFmtId="0" fontId="10" fillId="4" borderId="1" xfId="0" applyFont="1" applyFill="1" applyBorder="1" applyAlignment="1">
      <alignment vertical="center" wrapText="1"/>
    </xf>
    <xf numFmtId="11" fontId="10" fillId="4" borderId="1" xfId="0" applyNumberFormat="1" applyFont="1" applyFill="1" applyBorder="1" applyAlignment="1">
      <alignment vertical="center" wrapText="1"/>
    </xf>
    <xf numFmtId="0" fontId="10" fillId="4" borderId="1" xfId="0" applyFont="1" applyFill="1" applyBorder="1" applyAlignment="1">
      <alignment vertical="center"/>
    </xf>
    <xf numFmtId="11" fontId="10" fillId="4" borderId="1" xfId="0" applyNumberFormat="1" applyFont="1" applyFill="1" applyBorder="1" applyAlignment="1">
      <alignment vertical="center"/>
    </xf>
    <xf numFmtId="0" fontId="2" fillId="0" borderId="1" xfId="0" applyFont="1" applyBorder="1"/>
    <xf numFmtId="0" fontId="2" fillId="0" borderId="1" xfId="0" applyFont="1" applyBorder="1" applyAlignment="1">
      <alignment horizontal="center" wrapText="1"/>
    </xf>
    <xf numFmtId="164" fontId="3" fillId="0" borderId="1" xfId="0" applyNumberFormat="1" applyFont="1" applyBorder="1"/>
    <xf numFmtId="11" fontId="3" fillId="0" borderId="1" xfId="0" applyNumberFormat="1" applyFont="1" applyBorder="1"/>
    <xf numFmtId="0" fontId="13" fillId="0" borderId="1" xfId="0" applyFont="1" applyBorder="1" applyAlignment="1">
      <alignment horizontal="center" wrapText="1"/>
    </xf>
    <xf numFmtId="0" fontId="14" fillId="0" borderId="1" xfId="0" applyFont="1" applyBorder="1"/>
    <xf numFmtId="2" fontId="14" fillId="0" borderId="1" xfId="0" applyNumberFormat="1" applyFont="1" applyBorder="1"/>
    <xf numFmtId="11" fontId="14" fillId="0" borderId="1" xfId="0" applyNumberFormat="1" applyFont="1" applyBorder="1"/>
    <xf numFmtId="14" fontId="0" fillId="0" borderId="0" xfId="0" applyNumberFormat="1"/>
    <xf numFmtId="0" fontId="3" fillId="0" borderId="2" xfId="0" applyFont="1" applyBorder="1" applyAlignment="1">
      <alignment horizontal="left"/>
    </xf>
    <xf numFmtId="0" fontId="3" fillId="0" borderId="2" xfId="0" applyFont="1" applyBorder="1" applyAlignment="1">
      <alignment horizontal="center"/>
    </xf>
    <xf numFmtId="0" fontId="7" fillId="3" borderId="1" xfId="0" applyFont="1" applyFill="1" applyBorder="1" applyAlignment="1">
      <alignment vertical="center"/>
    </xf>
    <xf numFmtId="0" fontId="6" fillId="0" borderId="1" xfId="0" applyFont="1" applyBorder="1" applyAlignment="1">
      <alignment vertical="center"/>
    </xf>
    <xf numFmtId="0" fontId="3" fillId="0" borderId="0" xfId="0" applyFont="1" applyAlignment="1">
      <alignment wrapText="1"/>
    </xf>
    <xf numFmtId="0" fontId="3" fillId="0" borderId="1" xfId="0" applyFont="1" applyBorder="1" applyAlignment="1">
      <alignment horizontal="center"/>
    </xf>
    <xf numFmtId="0" fontId="3" fillId="0" borderId="2" xfId="0" applyFont="1" applyBorder="1" applyAlignment="1">
      <alignment wrapText="1"/>
    </xf>
    <xf numFmtId="0" fontId="11" fillId="0" borderId="0" xfId="0" applyFont="1" applyAlignment="1">
      <alignment vertical="center"/>
    </xf>
    <xf numFmtId="0" fontId="10" fillId="3" borderId="1" xfId="0" applyFont="1" applyFill="1" applyBorder="1" applyAlignment="1">
      <alignment horizontal="center" vertical="center"/>
    </xf>
    <xf numFmtId="0" fontId="10" fillId="4" borderId="1" xfId="0" applyFont="1" applyFill="1" applyBorder="1" applyAlignment="1">
      <alignment horizontal="center" vertical="center"/>
    </xf>
    <xf numFmtId="0" fontId="6" fillId="0" borderId="0" xfId="0" applyFont="1" applyAlignment="1">
      <alignment vertical="center"/>
    </xf>
    <xf numFmtId="0" fontId="12" fillId="0" borderId="2" xfId="0" applyFont="1" applyBorder="1" applyAlignment="1">
      <alignment horizontal="left"/>
    </xf>
    <xf numFmtId="0" fontId="12" fillId="0" borderId="0" xfId="0" applyFont="1" applyAlignment="1">
      <alignment horizontal="left"/>
    </xf>
    <xf numFmtId="0" fontId="16" fillId="5" borderId="1" xfId="0" applyFont="1" applyFill="1" applyBorder="1" applyAlignment="1">
      <alignment horizontal="center" vertical="center" wrapText="1"/>
    </xf>
    <xf numFmtId="8" fontId="11" fillId="0" borderId="1" xfId="0" applyNumberFormat="1" applyFont="1" applyBorder="1" applyAlignment="1">
      <alignment vertical="center" wrapText="1"/>
    </xf>
    <xf numFmtId="0" fontId="16" fillId="5" borderId="3"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5" fillId="0" borderId="0" xfId="0" applyFont="1" applyAlignment="1">
      <alignment wrapText="1"/>
    </xf>
    <xf numFmtId="0" fontId="15" fillId="0" borderId="0" xfId="0" applyFont="1"/>
  </cellXfs>
  <cellStyles count="2">
    <cellStyle name="Normal" xfId="0" builtinId="0"/>
    <cellStyle name="Normal 28" xfId="1" xr:uid="{CDCC8419-D6FE-4F3E-8BF8-114A236F87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C48FD-4CB8-4CD7-BD77-4DEFBB5EDE79}">
  <dimension ref="A1:B47"/>
  <sheetViews>
    <sheetView showGridLines="0" tabSelected="1" workbookViewId="0">
      <selection activeCell="E4" sqref="E4"/>
    </sheetView>
  </sheetViews>
  <sheetFormatPr defaultColWidth="8.88671875" defaultRowHeight="13.8" x14ac:dyDescent="0.3"/>
  <cols>
    <col min="1" max="1" width="19.109375" style="4" customWidth="1"/>
    <col min="2" max="16384" width="8.88671875" style="4"/>
  </cols>
  <sheetData>
    <row r="1" spans="1:2" ht="57.6" x14ac:dyDescent="0.3">
      <c r="A1" s="44" t="s">
        <v>267</v>
      </c>
      <c r="B1" s="45" t="s">
        <v>268</v>
      </c>
    </row>
    <row r="2" spans="1:2" ht="14.4" x14ac:dyDescent="0.3">
      <c r="A2" t="s">
        <v>237</v>
      </c>
      <c r="B2" t="s">
        <v>244</v>
      </c>
    </row>
    <row r="3" spans="1:2" ht="14.4" x14ac:dyDescent="0.3">
      <c r="A3" t="s">
        <v>269</v>
      </c>
      <c r="B3" t="s">
        <v>244</v>
      </c>
    </row>
    <row r="4" spans="1:2" ht="14.4" x14ac:dyDescent="0.3">
      <c r="A4" t="s">
        <v>270</v>
      </c>
      <c r="B4" t="s">
        <v>271</v>
      </c>
    </row>
    <row r="5" spans="1:2" ht="14.4" x14ac:dyDescent="0.3">
      <c r="A5" t="s">
        <v>243</v>
      </c>
      <c r="B5" t="s">
        <v>245</v>
      </c>
    </row>
    <row r="6" spans="1:2" ht="14.4" x14ac:dyDescent="0.3">
      <c r="A6" t="s">
        <v>272</v>
      </c>
      <c r="B6" t="s">
        <v>245</v>
      </c>
    </row>
    <row r="7" spans="1:2" ht="14.4" x14ac:dyDescent="0.3">
      <c r="A7" t="s">
        <v>273</v>
      </c>
      <c r="B7" t="s">
        <v>274</v>
      </c>
    </row>
    <row r="8" spans="1:2" ht="14.4" x14ac:dyDescent="0.3">
      <c r="A8" t="s">
        <v>275</v>
      </c>
      <c r="B8" t="s">
        <v>276</v>
      </c>
    </row>
    <row r="9" spans="1:2" ht="14.4" x14ac:dyDescent="0.3">
      <c r="A9" t="s">
        <v>277</v>
      </c>
      <c r="B9" t="s">
        <v>278</v>
      </c>
    </row>
    <row r="10" spans="1:2" ht="14.4" x14ac:dyDescent="0.3">
      <c r="A10" t="s">
        <v>279</v>
      </c>
      <c r="B10" t="s">
        <v>280</v>
      </c>
    </row>
    <row r="11" spans="1:2" ht="14.4" x14ac:dyDescent="0.3">
      <c r="A11" t="s">
        <v>239</v>
      </c>
      <c r="B11" t="s">
        <v>240</v>
      </c>
    </row>
    <row r="12" spans="1:2" ht="14.4" x14ac:dyDescent="0.3">
      <c r="A12" t="s">
        <v>168</v>
      </c>
      <c r="B12" t="s">
        <v>281</v>
      </c>
    </row>
    <row r="13" spans="1:2" ht="14.4" x14ac:dyDescent="0.3">
      <c r="A13" t="s">
        <v>168</v>
      </c>
      <c r="B13" t="s">
        <v>233</v>
      </c>
    </row>
    <row r="14" spans="1:2" ht="14.4" x14ac:dyDescent="0.3">
      <c r="A14" t="s">
        <v>282</v>
      </c>
      <c r="B14" t="s">
        <v>283</v>
      </c>
    </row>
    <row r="15" spans="1:2" ht="14.4" x14ac:dyDescent="0.3">
      <c r="A15" t="s">
        <v>284</v>
      </c>
      <c r="B15" t="s">
        <v>285</v>
      </c>
    </row>
    <row r="16" spans="1:2" ht="14.4" x14ac:dyDescent="0.3">
      <c r="A16" t="s">
        <v>286</v>
      </c>
      <c r="B16" t="s">
        <v>287</v>
      </c>
    </row>
    <row r="17" spans="1:2" ht="14.4" x14ac:dyDescent="0.3">
      <c r="A17" t="s">
        <v>288</v>
      </c>
      <c r="B17" t="s">
        <v>289</v>
      </c>
    </row>
    <row r="18" spans="1:2" ht="14.4" x14ac:dyDescent="0.3">
      <c r="A18" t="s">
        <v>290</v>
      </c>
      <c r="B18" t="s">
        <v>291</v>
      </c>
    </row>
    <row r="19" spans="1:2" ht="14.4" x14ac:dyDescent="0.3">
      <c r="A19" t="s">
        <v>292</v>
      </c>
      <c r="B19" t="s">
        <v>293</v>
      </c>
    </row>
    <row r="20" spans="1:2" ht="14.4" x14ac:dyDescent="0.3">
      <c r="A20" t="s">
        <v>294</v>
      </c>
      <c r="B20" t="s">
        <v>295</v>
      </c>
    </row>
    <row r="21" spans="1:2" ht="14.4" x14ac:dyDescent="0.3">
      <c r="A21" t="s">
        <v>77</v>
      </c>
      <c r="B21" t="s">
        <v>296</v>
      </c>
    </row>
    <row r="22" spans="1:2" ht="14.4" x14ac:dyDescent="0.3">
      <c r="A22" t="s">
        <v>297</v>
      </c>
      <c r="B22" t="s">
        <v>298</v>
      </c>
    </row>
    <row r="23" spans="1:2" ht="14.4" x14ac:dyDescent="0.3">
      <c r="A23" t="s">
        <v>299</v>
      </c>
      <c r="B23" t="s">
        <v>300</v>
      </c>
    </row>
    <row r="24" spans="1:2" ht="14.4" x14ac:dyDescent="0.3">
      <c r="A24" t="s">
        <v>301</v>
      </c>
      <c r="B24" t="s">
        <v>302</v>
      </c>
    </row>
    <row r="25" spans="1:2" ht="14.4" x14ac:dyDescent="0.3">
      <c r="A25" t="s">
        <v>54</v>
      </c>
      <c r="B25" t="s">
        <v>303</v>
      </c>
    </row>
    <row r="26" spans="1:2" ht="14.4" x14ac:dyDescent="0.3">
      <c r="A26" t="s">
        <v>304</v>
      </c>
      <c r="B26" t="s">
        <v>305</v>
      </c>
    </row>
    <row r="27" spans="1:2" ht="16.2" x14ac:dyDescent="0.3">
      <c r="A27" t="s">
        <v>306</v>
      </c>
      <c r="B27" t="s">
        <v>307</v>
      </c>
    </row>
    <row r="28" spans="1:2" ht="14.4" x14ac:dyDescent="0.3">
      <c r="A28" t="s">
        <v>235</v>
      </c>
      <c r="B28" t="s">
        <v>308</v>
      </c>
    </row>
    <row r="29" spans="1:2" ht="14.4" x14ac:dyDescent="0.3">
      <c r="A29" t="s">
        <v>309</v>
      </c>
      <c r="B29" t="s">
        <v>310</v>
      </c>
    </row>
    <row r="30" spans="1:2" ht="14.4" x14ac:dyDescent="0.3">
      <c r="A30" t="s">
        <v>311</v>
      </c>
      <c r="B30" t="s">
        <v>312</v>
      </c>
    </row>
    <row r="31" spans="1:2" ht="14.4" x14ac:dyDescent="0.3">
      <c r="A31" t="s">
        <v>313</v>
      </c>
      <c r="B31" t="s">
        <v>314</v>
      </c>
    </row>
    <row r="32" spans="1:2" ht="14.4" x14ac:dyDescent="0.3">
      <c r="A32" t="s">
        <v>315</v>
      </c>
      <c r="B32" t="s">
        <v>316</v>
      </c>
    </row>
    <row r="33" spans="1:2" ht="14.4" x14ac:dyDescent="0.3">
      <c r="A33" t="s">
        <v>317</v>
      </c>
      <c r="B33" t="s">
        <v>318</v>
      </c>
    </row>
    <row r="34" spans="1:2" ht="14.4" x14ac:dyDescent="0.3">
      <c r="A34" t="s">
        <v>242</v>
      </c>
      <c r="B34" t="s">
        <v>319</v>
      </c>
    </row>
    <row r="35" spans="1:2" ht="14.4" x14ac:dyDescent="0.3">
      <c r="A35" t="s">
        <v>320</v>
      </c>
      <c r="B35" t="s">
        <v>321</v>
      </c>
    </row>
    <row r="36" spans="1:2" ht="14.4" x14ac:dyDescent="0.3">
      <c r="A36" t="s">
        <v>241</v>
      </c>
      <c r="B36" t="s">
        <v>322</v>
      </c>
    </row>
    <row r="37" spans="1:2" ht="14.4" x14ac:dyDescent="0.3">
      <c r="A37" t="s">
        <v>128</v>
      </c>
      <c r="B37" t="s">
        <v>323</v>
      </c>
    </row>
    <row r="38" spans="1:2" ht="14.4" x14ac:dyDescent="0.3">
      <c r="A38" t="s">
        <v>324</v>
      </c>
      <c r="B38" t="s">
        <v>325</v>
      </c>
    </row>
    <row r="39" spans="1:2" ht="14.4" x14ac:dyDescent="0.3">
      <c r="A39" t="s">
        <v>236</v>
      </c>
      <c r="B39" t="s">
        <v>326</v>
      </c>
    </row>
    <row r="40" spans="1:2" ht="14.4" x14ac:dyDescent="0.3">
      <c r="A40" t="s">
        <v>327</v>
      </c>
      <c r="B40" t="s">
        <v>238</v>
      </c>
    </row>
    <row r="41" spans="1:2" ht="14.4" x14ac:dyDescent="0.3">
      <c r="A41" t="s">
        <v>328</v>
      </c>
      <c r="B41" t="s">
        <v>329</v>
      </c>
    </row>
    <row r="42" spans="1:2" ht="14.4" x14ac:dyDescent="0.3">
      <c r="A42" t="s">
        <v>234</v>
      </c>
      <c r="B42" t="s">
        <v>330</v>
      </c>
    </row>
    <row r="43" spans="1:2" ht="14.4" x14ac:dyDescent="0.3">
      <c r="A43" t="s">
        <v>47</v>
      </c>
      <c r="B43" t="s">
        <v>331</v>
      </c>
    </row>
    <row r="44" spans="1:2" ht="14.4" x14ac:dyDescent="0.3">
      <c r="A44" t="s">
        <v>332</v>
      </c>
      <c r="B44" t="s">
        <v>333</v>
      </c>
    </row>
    <row r="45" spans="1:2" ht="14.4" x14ac:dyDescent="0.3">
      <c r="A45" t="s">
        <v>334</v>
      </c>
      <c r="B45" t="s">
        <v>335</v>
      </c>
    </row>
    <row r="46" spans="1:2" ht="14.4" x14ac:dyDescent="0.3">
      <c r="A46" t="s">
        <v>78</v>
      </c>
      <c r="B46" t="s">
        <v>336</v>
      </c>
    </row>
    <row r="47" spans="1:2" ht="14.4" x14ac:dyDescent="0.3">
      <c r="A47" t="s">
        <v>337</v>
      </c>
      <c r="B47" t="s">
        <v>338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4:E22"/>
  <sheetViews>
    <sheetView showGridLines="0" workbookViewId="0">
      <selection activeCell="B23" sqref="B23"/>
    </sheetView>
  </sheetViews>
  <sheetFormatPr defaultColWidth="8.88671875" defaultRowHeight="13.8" x14ac:dyDescent="0.3"/>
  <cols>
    <col min="1" max="1" width="8.88671875" style="4"/>
    <col min="2" max="2" width="18.5546875" style="4" customWidth="1"/>
    <col min="3" max="3" width="18.33203125" style="4" customWidth="1"/>
    <col min="4" max="5" width="11.6640625" style="4" customWidth="1"/>
    <col min="6" max="16384" width="8.88671875" style="4"/>
  </cols>
  <sheetData>
    <row r="4" spans="2:5" x14ac:dyDescent="0.3">
      <c r="B4" s="4" t="s">
        <v>0</v>
      </c>
    </row>
    <row r="5" spans="2:5" ht="27.6" x14ac:dyDescent="0.3">
      <c r="B5" s="1" t="s">
        <v>1</v>
      </c>
      <c r="C5" s="1" t="s">
        <v>111</v>
      </c>
      <c r="D5" s="5" t="s">
        <v>31</v>
      </c>
      <c r="E5" s="5" t="s">
        <v>4</v>
      </c>
    </row>
    <row r="6" spans="2:5" ht="15" x14ac:dyDescent="0.3">
      <c r="B6" s="32" t="s">
        <v>105</v>
      </c>
      <c r="C6" s="32"/>
      <c r="D6" s="32"/>
      <c r="E6" s="32"/>
    </row>
    <row r="7" spans="2:5" x14ac:dyDescent="0.3">
      <c r="B7" s="6" t="s">
        <v>10</v>
      </c>
      <c r="C7" s="6" t="s">
        <v>108</v>
      </c>
      <c r="D7" s="3">
        <v>40</v>
      </c>
      <c r="E7" s="3" t="s">
        <v>8</v>
      </c>
    </row>
    <row r="8" spans="2:5" x14ac:dyDescent="0.3">
      <c r="B8" s="6" t="s">
        <v>3</v>
      </c>
      <c r="C8" s="6" t="s">
        <v>108</v>
      </c>
      <c r="D8" s="3">
        <v>80</v>
      </c>
      <c r="E8" s="3" t="s">
        <v>8</v>
      </c>
    </row>
    <row r="9" spans="2:5" ht="15" x14ac:dyDescent="0.3">
      <c r="B9" s="32" t="s">
        <v>104</v>
      </c>
      <c r="C9" s="32"/>
      <c r="D9" s="32"/>
      <c r="E9" s="32"/>
    </row>
    <row r="10" spans="2:5" x14ac:dyDescent="0.3">
      <c r="B10" s="6" t="s">
        <v>9</v>
      </c>
      <c r="C10" s="6" t="s">
        <v>109</v>
      </c>
      <c r="D10" s="3">
        <v>160</v>
      </c>
      <c r="E10" s="3">
        <v>7</v>
      </c>
    </row>
    <row r="11" spans="2:5" x14ac:dyDescent="0.3">
      <c r="B11" s="6" t="s">
        <v>2</v>
      </c>
      <c r="C11" s="6" t="s">
        <v>110</v>
      </c>
      <c r="D11" s="3">
        <v>240</v>
      </c>
      <c r="E11" s="3" t="s">
        <v>8</v>
      </c>
    </row>
    <row r="12" spans="2:5" x14ac:dyDescent="0.3">
      <c r="B12" s="6" t="s">
        <v>6</v>
      </c>
      <c r="C12" s="6" t="s">
        <v>109</v>
      </c>
      <c r="D12" s="3">
        <v>80</v>
      </c>
      <c r="E12" s="3">
        <v>7</v>
      </c>
    </row>
    <row r="13" spans="2:5" x14ac:dyDescent="0.3">
      <c r="B13" s="6" t="s">
        <v>7</v>
      </c>
      <c r="C13" s="6" t="s">
        <v>110</v>
      </c>
      <c r="D13" s="3">
        <v>160</v>
      </c>
      <c r="E13" s="3" t="s">
        <v>8</v>
      </c>
    </row>
    <row r="14" spans="2:5" x14ac:dyDescent="0.3">
      <c r="B14" s="32" t="s">
        <v>5</v>
      </c>
      <c r="C14" s="32"/>
      <c r="D14" s="32"/>
      <c r="E14" s="32"/>
    </row>
    <row r="15" spans="2:5" x14ac:dyDescent="0.3">
      <c r="B15" s="6" t="s">
        <v>9</v>
      </c>
      <c r="C15" s="6" t="s">
        <v>109</v>
      </c>
      <c r="D15" s="3">
        <v>160</v>
      </c>
      <c r="E15" s="3">
        <v>12</v>
      </c>
    </row>
    <row r="16" spans="2:5" x14ac:dyDescent="0.3">
      <c r="B16" s="6" t="s">
        <v>2</v>
      </c>
      <c r="C16" s="6" t="s">
        <v>109</v>
      </c>
      <c r="D16" s="3">
        <v>200</v>
      </c>
      <c r="E16" s="3">
        <v>10</v>
      </c>
    </row>
    <row r="17" spans="2:5" x14ac:dyDescent="0.3">
      <c r="B17" s="6">
        <v>2017</v>
      </c>
      <c r="C17" s="6" t="s">
        <v>109</v>
      </c>
      <c r="D17" s="3">
        <v>80</v>
      </c>
      <c r="E17" s="3">
        <v>12</v>
      </c>
    </row>
    <row r="18" spans="2:5" x14ac:dyDescent="0.3">
      <c r="B18" s="27"/>
      <c r="C18" s="27"/>
      <c r="D18" s="28"/>
      <c r="E18" s="28"/>
    </row>
    <row r="19" spans="2:5" x14ac:dyDescent="0.3">
      <c r="B19" s="33" t="s">
        <v>107</v>
      </c>
      <c r="C19" s="33"/>
      <c r="D19" s="33"/>
      <c r="E19" s="33"/>
    </row>
    <row r="20" spans="2:5" ht="26.4" customHeight="1" x14ac:dyDescent="0.3">
      <c r="B20" s="31" t="s">
        <v>106</v>
      </c>
      <c r="C20" s="31"/>
      <c r="D20" s="31"/>
      <c r="E20" s="31"/>
    </row>
    <row r="21" spans="2:5" x14ac:dyDescent="0.3">
      <c r="B21" s="31" t="s">
        <v>231</v>
      </c>
      <c r="C21" s="31"/>
      <c r="D21" s="31"/>
      <c r="E21" s="31"/>
    </row>
    <row r="22" spans="2:5" x14ac:dyDescent="0.3">
      <c r="B22" s="4" t="s">
        <v>246</v>
      </c>
    </row>
  </sheetData>
  <mergeCells count="6">
    <mergeCell ref="B21:E21"/>
    <mergeCell ref="B9:E9"/>
    <mergeCell ref="B14:E14"/>
    <mergeCell ref="B6:E6"/>
    <mergeCell ref="B19:E19"/>
    <mergeCell ref="B20:E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07700-8A7A-401D-ADBA-EE6CDF954739}">
  <sheetPr codeName="Sheet3"/>
  <dimension ref="B2:J18"/>
  <sheetViews>
    <sheetView showGridLines="0" workbookViewId="0">
      <selection activeCell="D32" sqref="D32"/>
    </sheetView>
  </sheetViews>
  <sheetFormatPr defaultRowHeight="14.4" x14ac:dyDescent="0.3"/>
  <cols>
    <col min="2" max="2" width="22.109375" customWidth="1"/>
    <col min="3" max="3" width="19.44140625" customWidth="1"/>
    <col min="4" max="10" width="7.6640625" customWidth="1"/>
  </cols>
  <sheetData>
    <row r="2" spans="2:10" x14ac:dyDescent="0.3">
      <c r="B2" t="s">
        <v>247</v>
      </c>
    </row>
    <row r="3" spans="2:10" x14ac:dyDescent="0.3">
      <c r="B3" s="35" t="s">
        <v>33</v>
      </c>
      <c r="C3" s="35" t="s">
        <v>34</v>
      </c>
      <c r="D3" s="35" t="s">
        <v>35</v>
      </c>
      <c r="E3" s="35"/>
      <c r="F3" s="35"/>
      <c r="G3" s="35"/>
      <c r="H3" s="35" t="s">
        <v>36</v>
      </c>
      <c r="I3" s="35"/>
      <c r="J3" s="35"/>
    </row>
    <row r="4" spans="2:10" x14ac:dyDescent="0.3">
      <c r="B4" s="35"/>
      <c r="C4" s="35"/>
      <c r="D4" s="7" t="s">
        <v>37</v>
      </c>
      <c r="E4" s="7" t="s">
        <v>38</v>
      </c>
      <c r="F4" s="7" t="s">
        <v>39</v>
      </c>
      <c r="G4" s="7" t="s">
        <v>40</v>
      </c>
      <c r="H4" s="7" t="s">
        <v>41</v>
      </c>
      <c r="I4" s="7" t="s">
        <v>42</v>
      </c>
      <c r="J4" s="7" t="s">
        <v>43</v>
      </c>
    </row>
    <row r="5" spans="2:10" x14ac:dyDescent="0.3">
      <c r="B5" s="8" t="s">
        <v>44</v>
      </c>
      <c r="C5" s="8" t="s">
        <v>45</v>
      </c>
      <c r="D5" s="9" t="s">
        <v>46</v>
      </c>
      <c r="E5" s="9" t="s">
        <v>46</v>
      </c>
      <c r="F5" s="9" t="s">
        <v>46</v>
      </c>
      <c r="G5" s="9" t="s">
        <v>46</v>
      </c>
      <c r="H5" s="9">
        <v>40</v>
      </c>
      <c r="I5" s="9">
        <v>40</v>
      </c>
      <c r="J5" s="9">
        <v>40</v>
      </c>
    </row>
    <row r="6" spans="2:10" ht="15" x14ac:dyDescent="0.3">
      <c r="B6" s="8" t="s">
        <v>64</v>
      </c>
      <c r="C6" s="8" t="s">
        <v>47</v>
      </c>
      <c r="D6" s="9">
        <v>18</v>
      </c>
      <c r="E6" s="9">
        <v>25</v>
      </c>
      <c r="F6" s="9">
        <v>48</v>
      </c>
      <c r="G6" s="9">
        <v>65</v>
      </c>
      <c r="H6" s="9">
        <v>120</v>
      </c>
      <c r="I6" s="9">
        <v>160</v>
      </c>
      <c r="J6" s="9">
        <v>230</v>
      </c>
    </row>
    <row r="7" spans="2:10" x14ac:dyDescent="0.3">
      <c r="B7" s="8" t="s">
        <v>48</v>
      </c>
      <c r="C7" s="8" t="s">
        <v>49</v>
      </c>
      <c r="D7" s="9">
        <v>3</v>
      </c>
      <c r="E7" s="9">
        <v>6</v>
      </c>
      <c r="F7" s="9">
        <v>12</v>
      </c>
      <c r="G7" s="9">
        <v>20</v>
      </c>
      <c r="H7" s="9">
        <v>10</v>
      </c>
      <c r="I7" s="9">
        <v>20</v>
      </c>
      <c r="J7" s="9">
        <v>30</v>
      </c>
    </row>
    <row r="8" spans="2:10" x14ac:dyDescent="0.3">
      <c r="B8" s="8" t="s">
        <v>50</v>
      </c>
      <c r="C8" s="8" t="s">
        <v>51</v>
      </c>
      <c r="D8" s="9">
        <v>2.5999999999999999E-2</v>
      </c>
      <c r="E8" s="9">
        <v>1.7999999999999999E-2</v>
      </c>
      <c r="F8" s="9">
        <v>1.7999999999999999E-2</v>
      </c>
      <c r="G8" s="9">
        <v>1.4E-2</v>
      </c>
      <c r="H8" s="9">
        <v>5.2999999999999999E-2</v>
      </c>
      <c r="I8" s="9">
        <v>3.5000000000000003E-2</v>
      </c>
      <c r="J8" s="9">
        <v>3.4000000000000002E-2</v>
      </c>
    </row>
    <row r="9" spans="2:10" ht="27.6" x14ac:dyDescent="0.3">
      <c r="B9" s="8" t="s">
        <v>50</v>
      </c>
      <c r="C9" s="8" t="s">
        <v>52</v>
      </c>
      <c r="D9" s="9">
        <v>3.5000000000000003E-2</v>
      </c>
      <c r="E9" s="9">
        <v>2.4E-2</v>
      </c>
      <c r="F9" s="9">
        <v>2.3E-2</v>
      </c>
      <c r="G9" s="9">
        <v>1.9E-2</v>
      </c>
      <c r="H9" s="9">
        <v>5.2999999999999999E-2</v>
      </c>
      <c r="I9" s="9">
        <v>3.5000000000000003E-2</v>
      </c>
      <c r="J9" s="9">
        <v>3.4000000000000002E-2</v>
      </c>
    </row>
    <row r="10" spans="2:10" x14ac:dyDescent="0.3">
      <c r="B10" s="8" t="s">
        <v>53</v>
      </c>
      <c r="C10" s="8" t="s">
        <v>54</v>
      </c>
      <c r="D10" s="9">
        <v>3.6</v>
      </c>
      <c r="E10" s="9">
        <v>5.4</v>
      </c>
      <c r="F10" s="9">
        <v>11.3</v>
      </c>
      <c r="G10" s="9">
        <v>13.2</v>
      </c>
      <c r="H10" s="9">
        <v>9.1</v>
      </c>
      <c r="I10" s="9">
        <v>10.199999999999999</v>
      </c>
      <c r="J10" s="9">
        <v>11.2</v>
      </c>
    </row>
    <row r="11" spans="2:10" x14ac:dyDescent="0.3">
      <c r="B11" s="8" t="s">
        <v>53</v>
      </c>
      <c r="C11" s="8" t="s">
        <v>55</v>
      </c>
      <c r="D11" s="9">
        <v>4.8</v>
      </c>
      <c r="E11" s="9">
        <v>7.3</v>
      </c>
      <c r="F11" s="9">
        <v>15.1</v>
      </c>
      <c r="G11" s="9">
        <v>17.5</v>
      </c>
      <c r="H11" s="9">
        <v>9.1</v>
      </c>
      <c r="I11" s="9">
        <v>10.199999999999999</v>
      </c>
      <c r="J11" s="9">
        <v>11.2</v>
      </c>
    </row>
    <row r="12" spans="2:10" x14ac:dyDescent="0.3">
      <c r="B12" s="8" t="s">
        <v>32</v>
      </c>
      <c r="C12" s="8" t="s">
        <v>56</v>
      </c>
      <c r="D12" s="10">
        <v>934</v>
      </c>
      <c r="E12" s="10">
        <v>1038</v>
      </c>
      <c r="F12" s="10">
        <v>1216</v>
      </c>
      <c r="G12" s="10">
        <v>1375</v>
      </c>
      <c r="H12" s="10">
        <v>2669</v>
      </c>
      <c r="I12" s="10">
        <v>3234</v>
      </c>
      <c r="J12" s="10">
        <v>4242</v>
      </c>
    </row>
    <row r="13" spans="2:10" x14ac:dyDescent="0.3">
      <c r="B13" s="8" t="s">
        <v>32</v>
      </c>
      <c r="C13" s="8" t="s">
        <v>57</v>
      </c>
      <c r="D13" s="10">
        <v>1245</v>
      </c>
      <c r="E13" s="10">
        <v>1384</v>
      </c>
      <c r="F13" s="10">
        <v>1621</v>
      </c>
      <c r="G13" s="10">
        <v>1833</v>
      </c>
      <c r="H13" s="10">
        <v>2669</v>
      </c>
      <c r="I13" s="10">
        <v>3234</v>
      </c>
      <c r="J13" s="10">
        <v>4242</v>
      </c>
    </row>
    <row r="14" spans="2:10" x14ac:dyDescent="0.3">
      <c r="B14" s="8" t="s">
        <v>58</v>
      </c>
      <c r="C14" s="8" t="s">
        <v>59</v>
      </c>
      <c r="D14" s="11">
        <v>10000</v>
      </c>
      <c r="E14" s="11">
        <v>10000</v>
      </c>
      <c r="F14" s="11">
        <v>10000</v>
      </c>
      <c r="G14" s="11">
        <v>10000</v>
      </c>
      <c r="H14" s="11">
        <v>18000</v>
      </c>
      <c r="I14" s="11">
        <v>18000</v>
      </c>
      <c r="J14" s="11">
        <v>18000</v>
      </c>
    </row>
    <row r="15" spans="2:10" ht="15" x14ac:dyDescent="0.3">
      <c r="B15" s="8" t="s">
        <v>65</v>
      </c>
      <c r="C15" s="8" t="s">
        <v>56</v>
      </c>
      <c r="D15" s="10">
        <v>112</v>
      </c>
      <c r="E15" s="10">
        <v>112</v>
      </c>
      <c r="F15" s="10">
        <v>130</v>
      </c>
      <c r="G15" s="10">
        <v>166</v>
      </c>
      <c r="H15" s="10">
        <v>303</v>
      </c>
      <c r="I15" s="10">
        <v>277</v>
      </c>
      <c r="J15" s="10">
        <v>229</v>
      </c>
    </row>
    <row r="16" spans="2:10" x14ac:dyDescent="0.3">
      <c r="B16" s="8" t="s">
        <v>60</v>
      </c>
      <c r="C16" s="8" t="s">
        <v>61</v>
      </c>
      <c r="D16" s="12">
        <v>0.09</v>
      </c>
      <c r="E16" s="12">
        <v>8.1000000000000003E-2</v>
      </c>
      <c r="F16" s="12">
        <v>0.08</v>
      </c>
      <c r="G16" s="12">
        <v>9.0999999999999998E-2</v>
      </c>
      <c r="H16" s="12">
        <v>0.114</v>
      </c>
      <c r="I16" s="12">
        <v>8.5999999999999993E-2</v>
      </c>
      <c r="J16" s="12">
        <v>5.3999999999999999E-2</v>
      </c>
    </row>
    <row r="17" spans="2:10" x14ac:dyDescent="0.3">
      <c r="B17" s="34" t="s">
        <v>62</v>
      </c>
      <c r="C17" s="34"/>
      <c r="D17" s="34"/>
      <c r="E17" s="34"/>
      <c r="F17" s="34"/>
      <c r="G17" s="34"/>
      <c r="H17" s="34"/>
      <c r="I17" s="34"/>
      <c r="J17" s="34"/>
    </row>
    <row r="18" spans="2:10" x14ac:dyDescent="0.3">
      <c r="B18" s="34" t="s">
        <v>63</v>
      </c>
      <c r="C18" s="34"/>
      <c r="D18" s="34"/>
      <c r="E18" s="34"/>
      <c r="F18" s="34"/>
      <c r="G18" s="34"/>
      <c r="H18" s="34"/>
      <c r="I18" s="34"/>
      <c r="J18" s="34"/>
    </row>
  </sheetData>
  <mergeCells count="6">
    <mergeCell ref="B18:J18"/>
    <mergeCell ref="B3:B4"/>
    <mergeCell ref="C3:C4"/>
    <mergeCell ref="D3:G3"/>
    <mergeCell ref="H3:J3"/>
    <mergeCell ref="B17:J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F2878-47D4-4D04-8B72-7AAF14B345F6}">
  <sheetPr codeName="Sheet4"/>
  <dimension ref="B2:F15"/>
  <sheetViews>
    <sheetView workbookViewId="0">
      <selection activeCell="G30" sqref="G30"/>
    </sheetView>
  </sheetViews>
  <sheetFormatPr defaultRowHeight="14.4" x14ac:dyDescent="0.3"/>
  <cols>
    <col min="2" max="2" width="15.6640625" customWidth="1"/>
    <col min="3" max="6" width="10.6640625" customWidth="1"/>
  </cols>
  <sheetData>
    <row r="2" spans="2:6" x14ac:dyDescent="0.3">
      <c r="B2" t="s">
        <v>248</v>
      </c>
    </row>
    <row r="3" spans="2:6" ht="41.4" x14ac:dyDescent="0.3">
      <c r="B3" s="13" t="s">
        <v>1</v>
      </c>
      <c r="C3" s="13" t="s">
        <v>66</v>
      </c>
      <c r="D3" s="13" t="s">
        <v>67</v>
      </c>
      <c r="E3" s="13" t="s">
        <v>68</v>
      </c>
      <c r="F3" s="13" t="s">
        <v>69</v>
      </c>
    </row>
    <row r="4" spans="2:6" x14ac:dyDescent="0.3">
      <c r="B4" s="36" t="s">
        <v>70</v>
      </c>
      <c r="C4" s="14">
        <v>7</v>
      </c>
      <c r="D4" s="14">
        <v>0.61</v>
      </c>
      <c r="E4" s="14">
        <v>0.22</v>
      </c>
      <c r="F4" s="15">
        <v>2.3999999999999999E-6</v>
      </c>
    </row>
    <row r="5" spans="2:6" x14ac:dyDescent="0.3">
      <c r="B5" s="36"/>
      <c r="C5" s="14">
        <v>10</v>
      </c>
      <c r="D5" s="14">
        <v>0.74</v>
      </c>
      <c r="E5" s="14">
        <v>0.37</v>
      </c>
      <c r="F5" s="15">
        <v>2.9000000000000002E-6</v>
      </c>
    </row>
    <row r="6" spans="2:6" x14ac:dyDescent="0.3">
      <c r="B6" s="36"/>
      <c r="C6" s="14">
        <v>12</v>
      </c>
      <c r="D6" s="14">
        <v>0.82</v>
      </c>
      <c r="E6" s="14">
        <v>0.38</v>
      </c>
      <c r="F6" s="15">
        <v>3.3000000000000002E-6</v>
      </c>
    </row>
    <row r="7" spans="2:6" x14ac:dyDescent="0.3">
      <c r="B7" s="36"/>
      <c r="C7" s="14">
        <v>32</v>
      </c>
      <c r="D7" s="14">
        <v>1.6</v>
      </c>
      <c r="E7" s="14" t="s">
        <v>71</v>
      </c>
      <c r="F7" s="15">
        <v>6.2999999999999998E-6</v>
      </c>
    </row>
    <row r="8" spans="2:6" x14ac:dyDescent="0.3">
      <c r="B8" s="36" t="s">
        <v>72</v>
      </c>
      <c r="C8" s="14">
        <v>7</v>
      </c>
      <c r="D8" s="14">
        <v>2.2000000000000002</v>
      </c>
      <c r="E8" s="14">
        <v>0.22</v>
      </c>
      <c r="F8" s="15">
        <v>8.4999999999999999E-6</v>
      </c>
    </row>
    <row r="9" spans="2:6" x14ac:dyDescent="0.3">
      <c r="B9" s="36"/>
      <c r="C9" s="14">
        <v>10</v>
      </c>
      <c r="D9" s="14">
        <v>2.2999999999999998</v>
      </c>
      <c r="E9" s="14">
        <v>0.31</v>
      </c>
      <c r="F9" s="15">
        <v>9.0000000000000002E-6</v>
      </c>
    </row>
    <row r="10" spans="2:6" x14ac:dyDescent="0.3">
      <c r="B10" s="36"/>
      <c r="C10" s="14">
        <v>12</v>
      </c>
      <c r="D10" s="14">
        <v>2.2999999999999998</v>
      </c>
      <c r="E10" s="14">
        <v>0.37</v>
      </c>
      <c r="F10" s="15">
        <v>9.3000000000000007E-6</v>
      </c>
    </row>
    <row r="11" spans="2:6" x14ac:dyDescent="0.3">
      <c r="B11" s="36"/>
      <c r="C11" s="14">
        <v>32</v>
      </c>
      <c r="D11" s="14">
        <v>3.1</v>
      </c>
      <c r="E11" s="14" t="s">
        <v>71</v>
      </c>
      <c r="F11" s="15">
        <v>1.2E-5</v>
      </c>
    </row>
    <row r="12" spans="2:6" x14ac:dyDescent="0.3">
      <c r="B12" s="36" t="s">
        <v>73</v>
      </c>
      <c r="C12" s="16">
        <v>7</v>
      </c>
      <c r="D12" s="16">
        <v>2.5</v>
      </c>
      <c r="E12" s="16">
        <v>0.22</v>
      </c>
      <c r="F12" s="17">
        <v>9.9000000000000001E-6</v>
      </c>
    </row>
    <row r="13" spans="2:6" x14ac:dyDescent="0.3">
      <c r="B13" s="36"/>
      <c r="C13" s="16">
        <v>10</v>
      </c>
      <c r="D13" s="16">
        <v>2.6</v>
      </c>
      <c r="E13" s="16">
        <v>0.31</v>
      </c>
      <c r="F13" s="17">
        <v>1.0000000000000001E-5</v>
      </c>
    </row>
    <row r="14" spans="2:6" x14ac:dyDescent="0.3">
      <c r="B14" s="36"/>
      <c r="C14" s="16">
        <v>12</v>
      </c>
      <c r="D14" s="16">
        <v>2.7</v>
      </c>
      <c r="E14" s="16">
        <v>0.37</v>
      </c>
      <c r="F14" s="17">
        <v>1.1E-5</v>
      </c>
    </row>
    <row r="15" spans="2:6" x14ac:dyDescent="0.3">
      <c r="B15" s="36"/>
      <c r="C15" s="16">
        <v>32</v>
      </c>
      <c r="D15" s="16">
        <v>3.4</v>
      </c>
      <c r="E15" s="16" t="s">
        <v>71</v>
      </c>
      <c r="F15" s="17">
        <v>1.4E-5</v>
      </c>
    </row>
  </sheetData>
  <mergeCells count="3">
    <mergeCell ref="B4:B7"/>
    <mergeCell ref="B8:B11"/>
    <mergeCell ref="B12:B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4E899-4470-4C83-AFD1-1077EBE9476B}">
  <sheetPr codeName="Sheet5"/>
  <dimension ref="C4:H10"/>
  <sheetViews>
    <sheetView showGridLines="0" workbookViewId="0">
      <selection activeCell="C5" sqref="C5"/>
    </sheetView>
  </sheetViews>
  <sheetFormatPr defaultRowHeight="14.4" x14ac:dyDescent="0.3"/>
  <cols>
    <col min="3" max="3" width="30.33203125" customWidth="1"/>
    <col min="4" max="4" width="15.109375" customWidth="1"/>
    <col min="8" max="8" width="17.6640625" customWidth="1"/>
  </cols>
  <sheetData>
    <row r="4" spans="3:8" x14ac:dyDescent="0.3">
      <c r="C4" t="s">
        <v>249</v>
      </c>
    </row>
    <row r="5" spans="3:8" x14ac:dyDescent="0.3">
      <c r="C5" s="7" t="s">
        <v>74</v>
      </c>
      <c r="D5" s="7" t="s">
        <v>75</v>
      </c>
      <c r="E5" s="7" t="s">
        <v>76</v>
      </c>
      <c r="F5" s="7" t="s">
        <v>77</v>
      </c>
      <c r="G5" s="7" t="s">
        <v>78</v>
      </c>
      <c r="H5" s="7" t="s">
        <v>14</v>
      </c>
    </row>
    <row r="6" spans="3:8" x14ac:dyDescent="0.3">
      <c r="C6" s="9" t="s">
        <v>79</v>
      </c>
      <c r="D6" s="9" t="s">
        <v>80</v>
      </c>
      <c r="E6" s="9" t="s">
        <v>81</v>
      </c>
      <c r="F6" s="9">
        <v>0.25</v>
      </c>
      <c r="G6" s="9" t="s">
        <v>81</v>
      </c>
      <c r="H6" s="9" t="s">
        <v>82</v>
      </c>
    </row>
    <row r="7" spans="3:8" x14ac:dyDescent="0.3">
      <c r="C7" s="9" t="s">
        <v>83</v>
      </c>
      <c r="D7" s="9" t="s">
        <v>80</v>
      </c>
      <c r="E7" s="9">
        <v>0.02</v>
      </c>
      <c r="F7" s="9" t="s">
        <v>81</v>
      </c>
      <c r="G7" s="9" t="s">
        <v>81</v>
      </c>
      <c r="H7" s="9" t="s">
        <v>84</v>
      </c>
    </row>
    <row r="8" spans="3:8" x14ac:dyDescent="0.3">
      <c r="C8" s="9" t="s">
        <v>85</v>
      </c>
      <c r="D8" s="9" t="s">
        <v>86</v>
      </c>
      <c r="E8" s="9">
        <v>0.18</v>
      </c>
      <c r="F8" s="9">
        <v>0.18</v>
      </c>
      <c r="G8" s="9">
        <v>0.18</v>
      </c>
      <c r="H8" s="9" t="s">
        <v>82</v>
      </c>
    </row>
    <row r="9" spans="3:8" x14ac:dyDescent="0.3">
      <c r="C9" s="9" t="s">
        <v>85</v>
      </c>
      <c r="D9" s="9" t="s">
        <v>87</v>
      </c>
      <c r="E9" s="9">
        <v>7.0000000000000007E-2</v>
      </c>
      <c r="F9" s="9">
        <v>7.0000000000000007E-2</v>
      </c>
      <c r="G9" s="9">
        <v>7.0000000000000007E-2</v>
      </c>
      <c r="H9" s="9" t="s">
        <v>82</v>
      </c>
    </row>
    <row r="10" spans="3:8" x14ac:dyDescent="0.3">
      <c r="C10" s="9" t="s">
        <v>88</v>
      </c>
      <c r="D10" s="9" t="s">
        <v>86</v>
      </c>
      <c r="E10" s="9">
        <v>0.06</v>
      </c>
      <c r="F10" s="9">
        <v>0.06</v>
      </c>
      <c r="G10" s="9">
        <v>0.06</v>
      </c>
      <c r="H10" s="9" t="s">
        <v>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4CE48-E956-4E6F-BED8-FA56E8BD7222}">
  <sheetPr codeName="Sheet6"/>
  <dimension ref="B4:E13"/>
  <sheetViews>
    <sheetView workbookViewId="0">
      <selection activeCell="B5" sqref="B5"/>
    </sheetView>
  </sheetViews>
  <sheetFormatPr defaultRowHeight="14.4" x14ac:dyDescent="0.3"/>
  <cols>
    <col min="2" max="2" width="39.33203125" customWidth="1"/>
    <col min="3" max="4" width="17.33203125" customWidth="1"/>
    <col min="5" max="5" width="28.44140625" customWidth="1"/>
  </cols>
  <sheetData>
    <row r="4" spans="2:5" x14ac:dyDescent="0.3">
      <c r="B4" t="s">
        <v>250</v>
      </c>
    </row>
    <row r="5" spans="2:5" x14ac:dyDescent="0.3">
      <c r="B5" s="29" t="s">
        <v>11</v>
      </c>
      <c r="C5" s="29" t="s">
        <v>12</v>
      </c>
      <c r="D5" s="29" t="s">
        <v>13</v>
      </c>
      <c r="E5" s="29" t="s">
        <v>14</v>
      </c>
    </row>
    <row r="6" spans="2:5" ht="16.2" x14ac:dyDescent="0.3">
      <c r="B6" s="30" t="s">
        <v>90</v>
      </c>
      <c r="C6" s="30" t="s">
        <v>27</v>
      </c>
      <c r="D6" s="30" t="s">
        <v>25</v>
      </c>
      <c r="E6" s="30" t="s">
        <v>91</v>
      </c>
    </row>
    <row r="7" spans="2:5" x14ac:dyDescent="0.3">
      <c r="B7" s="30" t="s">
        <v>24</v>
      </c>
      <c r="C7" s="30" t="s">
        <v>28</v>
      </c>
      <c r="D7" s="30" t="s">
        <v>26</v>
      </c>
      <c r="E7" s="30" t="s">
        <v>92</v>
      </c>
    </row>
    <row r="8" spans="2:5" x14ac:dyDescent="0.3">
      <c r="B8" s="30" t="s">
        <v>15</v>
      </c>
      <c r="C8" s="30" t="s">
        <v>29</v>
      </c>
      <c r="D8" s="30" t="s">
        <v>30</v>
      </c>
      <c r="E8" s="30" t="s">
        <v>93</v>
      </c>
    </row>
    <row r="9" spans="2:5" x14ac:dyDescent="0.3">
      <c r="B9" s="30" t="s">
        <v>16</v>
      </c>
      <c r="C9" s="30" t="s">
        <v>18</v>
      </c>
      <c r="D9" s="30">
        <v>2022</v>
      </c>
      <c r="E9" s="30" t="s">
        <v>94</v>
      </c>
    </row>
    <row r="10" spans="2:5" x14ac:dyDescent="0.3">
      <c r="B10" s="30" t="s">
        <v>17</v>
      </c>
      <c r="C10" s="30" t="s">
        <v>19</v>
      </c>
      <c r="D10" s="30">
        <v>2022</v>
      </c>
      <c r="E10" s="30" t="s">
        <v>95</v>
      </c>
    </row>
    <row r="11" spans="2:5" x14ac:dyDescent="0.3">
      <c r="B11" s="30" t="s">
        <v>20</v>
      </c>
      <c r="C11" s="30" t="s">
        <v>23</v>
      </c>
      <c r="D11" s="30">
        <v>2022</v>
      </c>
      <c r="E11" s="30" t="s">
        <v>96</v>
      </c>
    </row>
    <row r="12" spans="2:5" x14ac:dyDescent="0.3">
      <c r="B12" s="30" t="s">
        <v>21</v>
      </c>
      <c r="C12" s="30" t="s">
        <v>22</v>
      </c>
      <c r="D12" s="30">
        <v>2020</v>
      </c>
      <c r="E12" s="30" t="s">
        <v>97</v>
      </c>
    </row>
    <row r="13" spans="2:5" x14ac:dyDescent="0.3">
      <c r="B13" s="37" t="s">
        <v>98</v>
      </c>
      <c r="C13" s="37"/>
      <c r="D13" s="37"/>
      <c r="E13" s="37"/>
    </row>
  </sheetData>
  <mergeCells count="1">
    <mergeCell ref="B13:E1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061DD-ADE5-4FF5-A085-DE3A4D608C06}">
  <dimension ref="C3:F8"/>
  <sheetViews>
    <sheetView workbookViewId="0">
      <selection activeCell="C4" sqref="C4:C6"/>
    </sheetView>
  </sheetViews>
  <sheetFormatPr defaultRowHeight="14.4" x14ac:dyDescent="0.3"/>
  <cols>
    <col min="3" max="3" width="13.21875" customWidth="1"/>
    <col min="4" max="4" width="28.21875" customWidth="1"/>
    <col min="5" max="6" width="17.6640625" customWidth="1"/>
  </cols>
  <sheetData>
    <row r="3" spans="3:6" x14ac:dyDescent="0.3">
      <c r="C3" t="s">
        <v>262</v>
      </c>
    </row>
    <row r="4" spans="3:6" x14ac:dyDescent="0.3">
      <c r="C4" s="40" t="s">
        <v>251</v>
      </c>
      <c r="D4" s="40" t="s">
        <v>252</v>
      </c>
      <c r="E4" s="42" t="s">
        <v>261</v>
      </c>
      <c r="F4" s="40" t="s">
        <v>253</v>
      </c>
    </row>
    <row r="5" spans="3:6" x14ac:dyDescent="0.3">
      <c r="C5" s="40"/>
      <c r="D5" s="40"/>
      <c r="E5" s="43"/>
      <c r="F5" s="40"/>
    </row>
    <row r="6" spans="3:6" x14ac:dyDescent="0.3">
      <c r="C6" s="40"/>
      <c r="D6" s="40"/>
      <c r="E6" s="40" t="s">
        <v>254</v>
      </c>
      <c r="F6" s="40"/>
    </row>
    <row r="7" spans="3:6" ht="27.6" x14ac:dyDescent="0.3">
      <c r="C7" s="9" t="s">
        <v>255</v>
      </c>
      <c r="D7" s="8" t="s">
        <v>256</v>
      </c>
      <c r="E7" s="9" t="s">
        <v>257</v>
      </c>
      <c r="F7" s="41">
        <v>24.85</v>
      </c>
    </row>
    <row r="8" spans="3:6" ht="27.6" x14ac:dyDescent="0.3">
      <c r="C8" s="9" t="s">
        <v>258</v>
      </c>
      <c r="D8" s="8" t="s">
        <v>259</v>
      </c>
      <c r="E8" s="9" t="s">
        <v>260</v>
      </c>
      <c r="F8" s="41">
        <v>2.36</v>
      </c>
    </row>
  </sheetData>
  <mergeCells count="5">
    <mergeCell ref="C4:C6"/>
    <mergeCell ref="D4:D6"/>
    <mergeCell ref="F4:F5"/>
    <mergeCell ref="E6:F6"/>
    <mergeCell ref="E4:E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D5607-5CD7-4EE6-B926-AAF435B2CE76}">
  <sheetPr codeName="Sheet8"/>
  <dimension ref="B2:I50"/>
  <sheetViews>
    <sheetView showGridLines="0" topLeftCell="A16" workbookViewId="0">
      <selection activeCell="C43" sqref="C43:C47"/>
    </sheetView>
  </sheetViews>
  <sheetFormatPr defaultRowHeight="14.4" x14ac:dyDescent="0.3"/>
  <cols>
    <col min="2" max="2" width="43.5546875" customWidth="1"/>
    <col min="3" max="3" width="6.6640625" customWidth="1"/>
    <col min="4" max="9" width="12" customWidth="1"/>
  </cols>
  <sheetData>
    <row r="2" spans="2:9" x14ac:dyDescent="0.3">
      <c r="B2" t="s">
        <v>263</v>
      </c>
    </row>
    <row r="3" spans="2:9" ht="55.2" x14ac:dyDescent="0.3">
      <c r="B3" s="18" t="s">
        <v>161</v>
      </c>
      <c r="C3" s="19" t="s">
        <v>162</v>
      </c>
      <c r="D3" s="19" t="s">
        <v>163</v>
      </c>
      <c r="E3" s="19" t="s">
        <v>164</v>
      </c>
      <c r="F3" s="19" t="s">
        <v>165</v>
      </c>
      <c r="G3" s="19" t="s">
        <v>166</v>
      </c>
      <c r="H3" s="19" t="s">
        <v>167</v>
      </c>
      <c r="I3" s="19" t="s">
        <v>168</v>
      </c>
    </row>
    <row r="4" spans="2:9" x14ac:dyDescent="0.3">
      <c r="B4" s="2" t="s">
        <v>112</v>
      </c>
      <c r="C4" s="2" t="s">
        <v>54</v>
      </c>
      <c r="D4" s="20">
        <v>1.96678304077254</v>
      </c>
      <c r="E4" s="20">
        <v>78.356548509880099</v>
      </c>
      <c r="F4" s="20">
        <v>1.8661496275288645</v>
      </c>
      <c r="G4" s="20">
        <v>8.0279424024868415</v>
      </c>
      <c r="H4" s="20">
        <v>72.950525037503368</v>
      </c>
      <c r="I4" s="21">
        <v>2.6134975327716741E-6</v>
      </c>
    </row>
    <row r="5" spans="2:9" x14ac:dyDescent="0.3">
      <c r="B5" s="2" t="s">
        <v>113</v>
      </c>
      <c r="C5" s="2" t="s">
        <v>54</v>
      </c>
      <c r="D5" s="20">
        <v>2.0071124629556301</v>
      </c>
      <c r="E5" s="20">
        <v>75.976357962475007</v>
      </c>
      <c r="F5" s="20">
        <v>1.8100414844725208</v>
      </c>
      <c r="G5" s="20">
        <v>6.9728909048182555</v>
      </c>
      <c r="H5" s="20">
        <v>63.363191591677271</v>
      </c>
      <c r="I5" s="21">
        <v>2.482951382338791E-6</v>
      </c>
    </row>
    <row r="6" spans="2:9" x14ac:dyDescent="0.3">
      <c r="B6" s="2" t="s">
        <v>114</v>
      </c>
      <c r="C6" s="2" t="s">
        <v>54</v>
      </c>
      <c r="D6" s="20">
        <v>1.8905667201604299</v>
      </c>
      <c r="E6" s="20">
        <v>75.6305686549846</v>
      </c>
      <c r="F6" s="20">
        <v>1.8017564880401331</v>
      </c>
      <c r="G6" s="20">
        <v>6.4019798923469571</v>
      </c>
      <c r="H6" s="20">
        <v>58.175279668371452</v>
      </c>
      <c r="I6" s="21">
        <v>2.3410562110212266E-6</v>
      </c>
    </row>
    <row r="7" spans="2:9" x14ac:dyDescent="0.3">
      <c r="B7" s="2" t="s">
        <v>115</v>
      </c>
      <c r="C7" s="2" t="s">
        <v>54</v>
      </c>
      <c r="D7" s="20">
        <v>1.4538589195935563</v>
      </c>
      <c r="E7" s="20">
        <v>27.283005530777018</v>
      </c>
      <c r="F7" s="20">
        <v>0.64718490727214961</v>
      </c>
      <c r="G7" s="20">
        <v>6.7301789122194338</v>
      </c>
      <c r="H7" s="20">
        <v>61.15764919920845</v>
      </c>
      <c r="I7" s="21">
        <v>2.1139314585281439E-6</v>
      </c>
    </row>
    <row r="8" spans="2:9" x14ac:dyDescent="0.3">
      <c r="B8" s="2" t="s">
        <v>116</v>
      </c>
      <c r="C8" s="2" t="s">
        <v>54</v>
      </c>
      <c r="D8" s="20">
        <v>5.86590461920406</v>
      </c>
      <c r="E8" s="20">
        <v>63.528713710622597</v>
      </c>
      <c r="F8" s="20">
        <v>1.3251178498234355</v>
      </c>
      <c r="G8" s="20">
        <v>252.10447491002256</v>
      </c>
      <c r="H8" s="20">
        <v>2290.8925957531974</v>
      </c>
      <c r="I8" s="21">
        <v>2.7396190619714756E-5</v>
      </c>
    </row>
    <row r="9" spans="2:9" x14ac:dyDescent="0.3">
      <c r="B9" s="2" t="s">
        <v>117</v>
      </c>
      <c r="C9" s="2" t="s">
        <v>54</v>
      </c>
      <c r="D9" s="20">
        <v>0.75836976875380802</v>
      </c>
      <c r="E9" s="20">
        <v>11.482396708609899</v>
      </c>
      <c r="F9" s="20">
        <v>0.26008856240905465</v>
      </c>
      <c r="G9" s="20">
        <v>43.474837477966688</v>
      </c>
      <c r="H9" s="20">
        <v>395.0591647188885</v>
      </c>
      <c r="I9" s="21">
        <v>1.5121106152722711E-6</v>
      </c>
    </row>
    <row r="10" spans="2:9" x14ac:dyDescent="0.3">
      <c r="B10" s="2" t="s">
        <v>118</v>
      </c>
      <c r="C10" s="2" t="s">
        <v>54</v>
      </c>
      <c r="D10" s="20">
        <v>2.5733426255912502</v>
      </c>
      <c r="E10" s="20">
        <v>41.501150899050899</v>
      </c>
      <c r="F10" s="20">
        <v>0.97921797296452417</v>
      </c>
      <c r="G10" s="20">
        <v>56.105420684270939</v>
      </c>
      <c r="H10" s="20">
        <v>509.83423786145869</v>
      </c>
      <c r="I10" s="21">
        <v>3.3517207811216504E-6</v>
      </c>
    </row>
    <row r="11" spans="2:9" x14ac:dyDescent="0.3">
      <c r="B11" s="2" t="s">
        <v>119</v>
      </c>
      <c r="C11" s="2" t="s">
        <v>54</v>
      </c>
      <c r="D11" s="20">
        <v>2.2688066824931701</v>
      </c>
      <c r="E11" s="20">
        <v>44.3367558630693</v>
      </c>
      <c r="F11" s="20">
        <v>0.81191017936865617</v>
      </c>
      <c r="G11" s="20">
        <v>62.455615128937524</v>
      </c>
      <c r="H11" s="20">
        <v>567.53893921621204</v>
      </c>
      <c r="I11" s="21">
        <v>6.1637843991948269E-6</v>
      </c>
    </row>
    <row r="12" spans="2:9" x14ac:dyDescent="0.3">
      <c r="B12" s="2" t="s">
        <v>120</v>
      </c>
      <c r="C12" s="2" t="s">
        <v>54</v>
      </c>
      <c r="D12" s="20">
        <v>1300</v>
      </c>
      <c r="E12" s="20">
        <v>0</v>
      </c>
      <c r="F12" s="20">
        <v>0</v>
      </c>
      <c r="G12" s="20">
        <v>0</v>
      </c>
      <c r="H12" s="20">
        <v>0</v>
      </c>
      <c r="I12" s="21">
        <v>1.4402358000000001E-3</v>
      </c>
    </row>
    <row r="13" spans="2:9" x14ac:dyDescent="0.3">
      <c r="B13" s="2" t="s">
        <v>121</v>
      </c>
      <c r="C13" s="2" t="s">
        <v>54</v>
      </c>
      <c r="D13" s="20">
        <v>0.14667774409571699</v>
      </c>
      <c r="E13" s="20">
        <v>0.285430877930205</v>
      </c>
      <c r="F13" s="20">
        <v>6.559787249108078E-3</v>
      </c>
      <c r="G13" s="20">
        <v>2.8000000000000001E-2</v>
      </c>
      <c r="H13" s="20">
        <v>0.25443813603064053</v>
      </c>
      <c r="I13" s="21">
        <v>1.5362681099181827E-6</v>
      </c>
    </row>
    <row r="14" spans="2:9" x14ac:dyDescent="0.3">
      <c r="B14" s="2" t="s">
        <v>122</v>
      </c>
      <c r="C14" s="2" t="s">
        <v>54</v>
      </c>
      <c r="D14" s="20">
        <v>9.0547050792464105</v>
      </c>
      <c r="E14" s="20">
        <v>137.932728999999</v>
      </c>
      <c r="F14" s="20">
        <v>2.0429213241616506</v>
      </c>
      <c r="G14" s="20">
        <v>62.052578778286033</v>
      </c>
      <c r="H14" s="20">
        <v>563.87651715148502</v>
      </c>
      <c r="I14" s="21">
        <v>1.835009822018385E-5</v>
      </c>
    </row>
    <row r="15" spans="2:9" x14ac:dyDescent="0.3">
      <c r="B15" s="2" t="s">
        <v>123</v>
      </c>
      <c r="C15" s="2" t="s">
        <v>54</v>
      </c>
      <c r="D15" s="20">
        <v>5.7467500115936803</v>
      </c>
      <c r="E15" s="20">
        <v>111.26944741779801</v>
      </c>
      <c r="F15" s="20">
        <v>1.9949582376706745</v>
      </c>
      <c r="G15" s="20">
        <v>184.49623699572149</v>
      </c>
      <c r="H15" s="20">
        <v>1676.5313802092385</v>
      </c>
      <c r="I15" s="21">
        <v>1.6738183734192017E-4</v>
      </c>
    </row>
    <row r="16" spans="2:9" x14ac:dyDescent="0.3">
      <c r="B16" s="2" t="s">
        <v>124</v>
      </c>
      <c r="C16" s="2" t="s">
        <v>54</v>
      </c>
      <c r="D16" s="20">
        <v>6.4317870108107398</v>
      </c>
      <c r="E16" s="20">
        <v>123.139320719327</v>
      </c>
      <c r="F16" s="20">
        <v>2.0594854739014763</v>
      </c>
      <c r="G16" s="20">
        <v>32.195235037973518</v>
      </c>
      <c r="H16" s="20">
        <v>292.56055686179826</v>
      </c>
      <c r="I16" s="21">
        <v>2.5810316219409819E-4</v>
      </c>
    </row>
    <row r="17" spans="2:9" x14ac:dyDescent="0.3">
      <c r="B17" s="2" t="s">
        <v>125</v>
      </c>
      <c r="C17" s="2" t="s">
        <v>54</v>
      </c>
      <c r="D17" s="20">
        <v>1.6734463577643599</v>
      </c>
      <c r="E17" s="20">
        <v>27.542128925048399</v>
      </c>
      <c r="F17" s="20">
        <v>0.62311792931944676</v>
      </c>
      <c r="G17" s="20">
        <v>9.9834495688753577</v>
      </c>
      <c r="H17" s="20">
        <v>90.720367837876708</v>
      </c>
      <c r="I17" s="21">
        <v>6.5103851031368037E-6</v>
      </c>
    </row>
    <row r="18" spans="2:9" x14ac:dyDescent="0.3">
      <c r="B18" s="2" t="s">
        <v>126</v>
      </c>
      <c r="C18" s="2" t="s">
        <v>54</v>
      </c>
      <c r="D18" s="20">
        <v>5.0077112150627396</v>
      </c>
      <c r="E18" s="20">
        <v>86.621018968793393</v>
      </c>
      <c r="F18" s="20">
        <v>1.6460294098585697</v>
      </c>
      <c r="G18" s="20">
        <v>43.520868759714219</v>
      </c>
      <c r="H18" s="20">
        <v>395.47745448770786</v>
      </c>
      <c r="I18" s="21">
        <v>4.4987015681180118E-5</v>
      </c>
    </row>
    <row r="19" spans="2:9" x14ac:dyDescent="0.3">
      <c r="B19" s="2" t="s">
        <v>127</v>
      </c>
      <c r="C19" s="2" t="s">
        <v>54</v>
      </c>
      <c r="D19" s="20">
        <v>0.14667774409571699</v>
      </c>
      <c r="E19" s="20">
        <v>0.285430877930205</v>
      </c>
      <c r="F19" s="20">
        <v>6.559787249108078E-3</v>
      </c>
      <c r="G19" s="20">
        <v>2.8000000000000001E-2</v>
      </c>
      <c r="H19" s="20">
        <v>0.25443813603064053</v>
      </c>
      <c r="I19" s="21">
        <v>1.5362681099181827E-6</v>
      </c>
    </row>
    <row r="20" spans="2:9" x14ac:dyDescent="0.3">
      <c r="B20" s="2" t="s">
        <v>264</v>
      </c>
      <c r="C20" s="2" t="s">
        <v>54</v>
      </c>
      <c r="D20" s="20">
        <v>14.0656349366668</v>
      </c>
      <c r="E20" s="20">
        <v>163.79533108493601</v>
      </c>
      <c r="F20" s="20">
        <v>3.337285844412726</v>
      </c>
      <c r="G20" s="20">
        <v>142.01796547803949</v>
      </c>
      <c r="H20" s="20">
        <v>1290.5280863962937</v>
      </c>
      <c r="I20" s="21">
        <v>2.6054936790750276E-5</v>
      </c>
    </row>
    <row r="21" spans="2:9" x14ac:dyDescent="0.3">
      <c r="B21" s="2" t="s">
        <v>129</v>
      </c>
      <c r="C21" s="2" t="s">
        <v>130</v>
      </c>
      <c r="D21" s="20">
        <v>309.63226710162502</v>
      </c>
      <c r="E21" s="20">
        <v>2209.91040895382</v>
      </c>
      <c r="F21" s="20">
        <v>47.954326403294161</v>
      </c>
      <c r="G21" s="20">
        <v>3103.5122785239428</v>
      </c>
      <c r="H21" s="20">
        <v>28201.85283199422</v>
      </c>
      <c r="I21" s="21">
        <v>4.9842231306595369E-4</v>
      </c>
    </row>
    <row r="22" spans="2:9" x14ac:dyDescent="0.3">
      <c r="B22" s="2" t="s">
        <v>131</v>
      </c>
      <c r="C22" s="2" t="s">
        <v>130</v>
      </c>
      <c r="D22" s="20">
        <v>0.56622886541075323</v>
      </c>
      <c r="E22" s="20">
        <v>3.3802053958734986</v>
      </c>
      <c r="F22" s="20">
        <v>6.4814279475307157E-2</v>
      </c>
      <c r="G22" s="20">
        <v>0.8</v>
      </c>
      <c r="H22" s="20">
        <v>7.2696610294468726</v>
      </c>
      <c r="I22" s="21">
        <v>6.4172231849956393E-7</v>
      </c>
    </row>
    <row r="23" spans="2:9" x14ac:dyDescent="0.3">
      <c r="B23" s="2" t="s">
        <v>132</v>
      </c>
      <c r="C23" s="2" t="s">
        <v>54</v>
      </c>
      <c r="D23" s="20">
        <v>3.4832633756862599</v>
      </c>
      <c r="E23" s="20">
        <v>106.989278479226</v>
      </c>
      <c r="F23" s="20">
        <v>2.4333340524879143</v>
      </c>
      <c r="G23" s="20">
        <v>18.399999999999999</v>
      </c>
      <c r="H23" s="20">
        <v>167.20220367727805</v>
      </c>
      <c r="I23" s="21">
        <v>6.0706361213113092E-6</v>
      </c>
    </row>
    <row r="24" spans="2:9" x14ac:dyDescent="0.3">
      <c r="B24" s="2" t="s">
        <v>133</v>
      </c>
      <c r="C24" s="2" t="s">
        <v>54</v>
      </c>
      <c r="D24" s="20">
        <v>2.5046963681729202</v>
      </c>
      <c r="E24" s="20">
        <v>85.800929402094496</v>
      </c>
      <c r="F24" s="20">
        <v>1.8995946787770539</v>
      </c>
      <c r="G24" s="20">
        <v>44.826759421175247</v>
      </c>
      <c r="H24" s="20">
        <v>407.3441825506352</v>
      </c>
      <c r="I24" s="21">
        <v>5.7259286443015325E-6</v>
      </c>
    </row>
    <row r="25" spans="2:9" x14ac:dyDescent="0.3">
      <c r="B25" s="2" t="s">
        <v>134</v>
      </c>
      <c r="C25" s="2" t="s">
        <v>54</v>
      </c>
      <c r="D25" s="20">
        <v>2.2428741728118502</v>
      </c>
      <c r="E25" s="20">
        <v>34.253308138704803</v>
      </c>
      <c r="F25" s="20">
        <v>0.79452109219123201</v>
      </c>
      <c r="G25" s="20">
        <v>14.066637925023842</v>
      </c>
      <c r="H25" s="20">
        <v>127.82461192360655</v>
      </c>
      <c r="I25" s="21">
        <v>5.5543607728432841E-6</v>
      </c>
    </row>
    <row r="26" spans="2:9" x14ac:dyDescent="0.3">
      <c r="B26" s="2" t="s">
        <v>135</v>
      </c>
      <c r="C26" s="2" t="s">
        <v>54</v>
      </c>
      <c r="D26" s="20">
        <v>0.47479210105290798</v>
      </c>
      <c r="E26" s="20">
        <v>8.4271334440637702</v>
      </c>
      <c r="F26" s="20">
        <v>0.15480797906804003</v>
      </c>
      <c r="G26" s="20">
        <v>19.97731741025822</v>
      </c>
      <c r="H26" s="20">
        <v>181.53540731280589</v>
      </c>
      <c r="I26" s="21">
        <v>7.519975031891899E-7</v>
      </c>
    </row>
    <row r="27" spans="2:9" x14ac:dyDescent="0.3">
      <c r="B27" s="2" t="s">
        <v>136</v>
      </c>
      <c r="C27" s="2" t="s">
        <v>54</v>
      </c>
      <c r="D27" s="20">
        <v>2.0101932830668461</v>
      </c>
      <c r="E27" s="20">
        <v>33.114325002078132</v>
      </c>
      <c r="F27" s="20">
        <v>1.7742561522665561</v>
      </c>
      <c r="G27" s="20">
        <v>27.109326229438199</v>
      </c>
      <c r="H27" s="20">
        <v>246.34451553088601</v>
      </c>
      <c r="I27" s="21">
        <v>7.8511434705386448E-6</v>
      </c>
    </row>
    <row r="28" spans="2:9" x14ac:dyDescent="0.3">
      <c r="B28" s="2" t="s">
        <v>137</v>
      </c>
      <c r="C28" s="2" t="s">
        <v>54</v>
      </c>
      <c r="D28" s="20">
        <v>2.18014997330034</v>
      </c>
      <c r="E28" s="20">
        <v>59.299140469812201</v>
      </c>
      <c r="F28" s="20">
        <v>1.3911450904523717</v>
      </c>
      <c r="G28" s="20">
        <v>8.1893350435920453</v>
      </c>
      <c r="H28" s="20">
        <v>74.417112279355877</v>
      </c>
      <c r="I28" s="21">
        <v>2.8375689621884839E-6</v>
      </c>
    </row>
    <row r="29" spans="2:9" x14ac:dyDescent="0.3">
      <c r="B29" s="2" t="s">
        <v>138</v>
      </c>
      <c r="C29" s="2" t="s">
        <v>54</v>
      </c>
      <c r="D29" s="20">
        <v>2.7012661070418398</v>
      </c>
      <c r="E29" s="20">
        <v>62.733344912398302</v>
      </c>
      <c r="F29" s="20">
        <v>1.4624138670235525</v>
      </c>
      <c r="G29" s="20">
        <v>8.0993350435920455</v>
      </c>
      <c r="H29" s="20">
        <v>73.599275413543097</v>
      </c>
      <c r="I29" s="21">
        <v>3.6709970677508E-6</v>
      </c>
    </row>
    <row r="30" spans="2:9" x14ac:dyDescent="0.3">
      <c r="B30" s="2" t="s">
        <v>139</v>
      </c>
      <c r="C30" s="2" t="s">
        <v>54</v>
      </c>
      <c r="D30" s="20">
        <v>2.34278930411784</v>
      </c>
      <c r="E30" s="20">
        <v>80.878438235796594</v>
      </c>
      <c r="F30" s="20">
        <v>1.9270854269167477</v>
      </c>
      <c r="G30" s="20">
        <v>7.0807795553622519</v>
      </c>
      <c r="H30" s="20">
        <v>64.343583989651393</v>
      </c>
      <c r="I30" s="21">
        <v>2.9689677774006442E-6</v>
      </c>
    </row>
    <row r="31" spans="2:9" x14ac:dyDescent="0.3">
      <c r="B31" s="2" t="s">
        <v>140</v>
      </c>
      <c r="C31" s="2" t="s">
        <v>54</v>
      </c>
      <c r="D31" s="20">
        <v>2.18014997330034</v>
      </c>
      <c r="E31" s="20">
        <v>59.299140469812201</v>
      </c>
      <c r="F31" s="20">
        <v>1.3911450904523717</v>
      </c>
      <c r="G31" s="20">
        <v>8.1893350435920453</v>
      </c>
      <c r="H31" s="20">
        <v>74.417112279355877</v>
      </c>
      <c r="I31" s="21">
        <v>2.8375689621884839E-6</v>
      </c>
    </row>
    <row r="32" spans="2:9" x14ac:dyDescent="0.3">
      <c r="B32" s="2" t="s">
        <v>141</v>
      </c>
      <c r="C32" s="2" t="s">
        <v>54</v>
      </c>
      <c r="D32" s="20">
        <v>2.3914726270224</v>
      </c>
      <c r="E32" s="20">
        <v>80.557261433823697</v>
      </c>
      <c r="F32" s="20">
        <v>1.9188760120601318</v>
      </c>
      <c r="G32" s="20">
        <v>6.3094900405595391</v>
      </c>
      <c r="H32" s="20">
        <v>57.334817329423565</v>
      </c>
      <c r="I32" s="21">
        <v>3.0561907641012099E-6</v>
      </c>
    </row>
    <row r="33" spans="2:9" x14ac:dyDescent="0.3">
      <c r="B33" s="2" t="s">
        <v>142</v>
      </c>
      <c r="C33" s="2" t="s">
        <v>54</v>
      </c>
      <c r="D33" s="20">
        <v>34</v>
      </c>
      <c r="E33" s="20">
        <v>0</v>
      </c>
      <c r="F33" s="20">
        <v>0</v>
      </c>
      <c r="G33" s="20">
        <v>0</v>
      </c>
      <c r="H33" s="20">
        <v>0</v>
      </c>
      <c r="I33" s="21">
        <v>3.1600000000000002E-5</v>
      </c>
    </row>
    <row r="34" spans="2:9" x14ac:dyDescent="0.3">
      <c r="B34" s="2" t="s">
        <v>143</v>
      </c>
      <c r="C34" s="2" t="s">
        <v>54</v>
      </c>
      <c r="D34" s="20">
        <v>298</v>
      </c>
      <c r="E34" s="20">
        <v>0</v>
      </c>
      <c r="F34" s="20">
        <v>0</v>
      </c>
      <c r="G34" s="20">
        <v>0</v>
      </c>
      <c r="H34" s="20">
        <v>0</v>
      </c>
      <c r="I34" s="21">
        <v>2.8583999999999999E-4</v>
      </c>
    </row>
    <row r="35" spans="2:9" x14ac:dyDescent="0.3">
      <c r="B35" s="2" t="s">
        <v>144</v>
      </c>
      <c r="C35" s="2" t="s">
        <v>54</v>
      </c>
      <c r="D35" s="20">
        <v>3.4206419603660962</v>
      </c>
      <c r="E35" s="20">
        <v>105.63955404065712</v>
      </c>
      <c r="F35" s="20">
        <v>2.5133345348010141</v>
      </c>
      <c r="G35" s="20">
        <v>14.758121314706276</v>
      </c>
      <c r="H35" s="20">
        <v>134.10817423671182</v>
      </c>
      <c r="I35" s="21">
        <v>4.727428991299818E-6</v>
      </c>
    </row>
    <row r="36" spans="2:9" x14ac:dyDescent="0.3">
      <c r="B36" s="2" t="s">
        <v>145</v>
      </c>
      <c r="C36" s="2" t="s">
        <v>146</v>
      </c>
      <c r="D36" s="20">
        <v>3.4033816537552899E-2</v>
      </c>
      <c r="E36" s="20">
        <v>0.44022352586833302</v>
      </c>
      <c r="F36" s="20">
        <v>1.0424946365847282E-2</v>
      </c>
      <c r="G36" s="20">
        <v>4.0113500000000003E-2</v>
      </c>
      <c r="H36" s="20">
        <v>0.36451443463089644</v>
      </c>
      <c r="I36" s="21">
        <v>7.3943391980263214E-8</v>
      </c>
    </row>
    <row r="37" spans="2:9" x14ac:dyDescent="0.3">
      <c r="B37" s="2" t="s">
        <v>147</v>
      </c>
      <c r="C37" s="2" t="s">
        <v>146</v>
      </c>
      <c r="D37" s="20">
        <v>9.5446242331655204E-2</v>
      </c>
      <c r="E37" s="20">
        <v>1.2493006066855601</v>
      </c>
      <c r="F37" s="20">
        <v>2.9584724700544091E-2</v>
      </c>
      <c r="G37" s="20">
        <v>0.11383700000000001</v>
      </c>
      <c r="H37" s="20">
        <v>1.0344455032614297</v>
      </c>
      <c r="I37" s="21">
        <v>1.4153757736779842E-7</v>
      </c>
    </row>
    <row r="38" spans="2:9" x14ac:dyDescent="0.3">
      <c r="B38" s="2" t="s">
        <v>148</v>
      </c>
      <c r="C38" s="2" t="s">
        <v>146</v>
      </c>
      <c r="D38" s="20">
        <v>5.7782324951487801E-2</v>
      </c>
      <c r="E38" s="20">
        <v>0.87657595339157102</v>
      </c>
      <c r="F38" s="20">
        <v>1.9919735014625534E-2</v>
      </c>
      <c r="G38" s="20">
        <v>0.14000000000000001</v>
      </c>
      <c r="H38" s="20">
        <v>1.2721906801532028</v>
      </c>
      <c r="I38" s="21">
        <v>1.6461263284321538E-7</v>
      </c>
    </row>
    <row r="39" spans="2:9" x14ac:dyDescent="0.3">
      <c r="B39" s="2" t="s">
        <v>149</v>
      </c>
      <c r="C39" s="2" t="s">
        <v>54</v>
      </c>
      <c r="D39" s="20">
        <v>0.78782923187495801</v>
      </c>
      <c r="E39" s="20">
        <v>13.317264114685401</v>
      </c>
      <c r="F39" s="20">
        <v>0.31674043716638245</v>
      </c>
      <c r="G39" s="20">
        <v>3.1148340093256555</v>
      </c>
      <c r="H39" s="20">
        <v>28.304734263488093</v>
      </c>
      <c r="I39" s="21">
        <v>9.8444977269747104E-7</v>
      </c>
    </row>
    <row r="40" spans="2:9" x14ac:dyDescent="0.3">
      <c r="B40" s="2" t="s">
        <v>150</v>
      </c>
      <c r="C40" s="2" t="s">
        <v>130</v>
      </c>
      <c r="D40" s="20">
        <v>2.4155993005978198</v>
      </c>
      <c r="E40" s="20">
        <v>44.876404705223599</v>
      </c>
      <c r="F40" s="20">
        <v>1.0705663354166546</v>
      </c>
      <c r="G40" s="20">
        <v>0.78</v>
      </c>
      <c r="H40" s="20">
        <v>7.087919503710701</v>
      </c>
      <c r="I40" s="21">
        <v>2.6430110598572604E-6</v>
      </c>
    </row>
    <row r="41" spans="2:9" x14ac:dyDescent="0.3">
      <c r="B41" s="2" t="s">
        <v>151</v>
      </c>
      <c r="C41" s="2" t="s">
        <v>54</v>
      </c>
      <c r="D41" s="20">
        <v>9.5446242331655197E-3</v>
      </c>
      <c r="E41" s="20">
        <v>0.12493006066855601</v>
      </c>
      <c r="F41" s="20">
        <v>2.9584724700544088E-3</v>
      </c>
      <c r="G41" s="20">
        <v>1.13837E-2</v>
      </c>
      <c r="H41" s="20">
        <v>0.10344455032614296</v>
      </c>
      <c r="I41" s="21">
        <v>1.4153757736779844E-6</v>
      </c>
    </row>
    <row r="42" spans="2:9" x14ac:dyDescent="0.3">
      <c r="B42" s="2" t="s">
        <v>152</v>
      </c>
      <c r="C42" s="2" t="s">
        <v>54</v>
      </c>
      <c r="D42" s="20">
        <v>9.5446242331655197E-3</v>
      </c>
      <c r="E42" s="20">
        <v>0.12493006066855601</v>
      </c>
      <c r="F42" s="20">
        <v>2.9584724700544088E-3</v>
      </c>
      <c r="G42" s="20">
        <v>1.13837E-2</v>
      </c>
      <c r="H42" s="20">
        <v>0.10344455032614296</v>
      </c>
      <c r="I42" s="21">
        <v>1.4153757736779844E-6</v>
      </c>
    </row>
    <row r="43" spans="2:9" x14ac:dyDescent="0.3">
      <c r="B43" s="2" t="s">
        <v>153</v>
      </c>
      <c r="C43" s="2" t="s">
        <v>54</v>
      </c>
      <c r="D43" s="20">
        <v>2.46639268652208</v>
      </c>
      <c r="E43" s="20">
        <v>85.591372326633902</v>
      </c>
      <c r="F43" s="20">
        <v>1.9430680802463336</v>
      </c>
      <c r="G43" s="20">
        <v>14.823123915698186</v>
      </c>
      <c r="H43" s="20">
        <v>134.69885783076629</v>
      </c>
      <c r="I43" s="21">
        <v>3.874023179648258E-6</v>
      </c>
    </row>
    <row r="44" spans="2:9" x14ac:dyDescent="0.3">
      <c r="B44" s="2" t="s">
        <v>154</v>
      </c>
      <c r="C44" s="2" t="s">
        <v>54</v>
      </c>
      <c r="D44" s="20">
        <v>0</v>
      </c>
      <c r="E44" s="20">
        <v>0</v>
      </c>
      <c r="F44" s="20">
        <v>0</v>
      </c>
      <c r="G44" s="20">
        <v>0</v>
      </c>
      <c r="H44" s="20">
        <v>0</v>
      </c>
      <c r="I44" s="21">
        <v>0</v>
      </c>
    </row>
    <row r="45" spans="2:9" x14ac:dyDescent="0.3">
      <c r="B45" s="2" t="s">
        <v>155</v>
      </c>
      <c r="C45" s="2" t="s">
        <v>54</v>
      </c>
      <c r="D45" s="20">
        <v>0.16653444522543101</v>
      </c>
      <c r="E45" s="20">
        <v>2.5905384866993901</v>
      </c>
      <c r="F45" s="20">
        <v>5.6395653546136425E-2</v>
      </c>
      <c r="G45" s="20">
        <v>1.399105803419407</v>
      </c>
      <c r="H45" s="20">
        <v>12.713781168988776</v>
      </c>
      <c r="I45" s="21">
        <v>5.1717821793841464E-7</v>
      </c>
    </row>
    <row r="46" spans="2:9" x14ac:dyDescent="0.3">
      <c r="B46" s="2" t="s">
        <v>156</v>
      </c>
      <c r="C46" s="2" t="s">
        <v>54</v>
      </c>
      <c r="D46" s="20">
        <v>0.89610107484367096</v>
      </c>
      <c r="E46" s="20">
        <v>4.2958985956673104</v>
      </c>
      <c r="F46" s="20">
        <v>9.5909374704369443E-2</v>
      </c>
      <c r="G46" s="20">
        <v>0.8086864809977039</v>
      </c>
      <c r="H46" s="20">
        <v>7.3485957449369215</v>
      </c>
      <c r="I46" s="21">
        <v>1.0336500614978592E-6</v>
      </c>
    </row>
    <row r="47" spans="2:9" x14ac:dyDescent="0.3">
      <c r="B47" s="2" t="s">
        <v>157</v>
      </c>
      <c r="C47" s="2" t="s">
        <v>54</v>
      </c>
      <c r="D47" s="20">
        <v>4.2281565044352598E-2</v>
      </c>
      <c r="E47" s="20">
        <v>0.57145594936968802</v>
      </c>
      <c r="F47" s="20">
        <v>1.2120581485188566E-2</v>
      </c>
      <c r="G47" s="20">
        <v>0.28999999999999998</v>
      </c>
      <c r="H47" s="20">
        <v>2.635252123174491</v>
      </c>
      <c r="I47" s="21">
        <v>9.7939107685278776E-8</v>
      </c>
    </row>
    <row r="48" spans="2:9" x14ac:dyDescent="0.3">
      <c r="B48" s="2" t="s">
        <v>131</v>
      </c>
      <c r="C48" s="2" t="s">
        <v>158</v>
      </c>
      <c r="D48" s="20">
        <v>3.2172094625610979</v>
      </c>
      <c r="E48" s="20">
        <v>19.20571247655397</v>
      </c>
      <c r="F48" s="20">
        <v>0.36826295156424521</v>
      </c>
      <c r="G48" s="20">
        <v>4.5454545454545459</v>
      </c>
      <c r="H48" s="20">
        <v>41.304892212766326</v>
      </c>
      <c r="I48" s="21">
        <v>3.6461495369293402E-6</v>
      </c>
    </row>
    <row r="49" spans="2:9" x14ac:dyDescent="0.3">
      <c r="B49" s="38" t="s">
        <v>159</v>
      </c>
      <c r="C49" s="38"/>
      <c r="D49" s="38"/>
      <c r="E49" s="38"/>
      <c r="F49" s="38"/>
      <c r="G49" s="38"/>
      <c r="H49" s="38"/>
      <c r="I49" s="38"/>
    </row>
    <row r="50" spans="2:9" x14ac:dyDescent="0.3">
      <c r="B50" s="39" t="s">
        <v>160</v>
      </c>
      <c r="C50" s="39"/>
      <c r="D50" s="39"/>
      <c r="E50" s="39"/>
      <c r="F50" s="39"/>
      <c r="G50" s="39"/>
      <c r="H50" s="39"/>
      <c r="I50" s="39"/>
    </row>
  </sheetData>
  <mergeCells count="2">
    <mergeCell ref="B49:I49"/>
    <mergeCell ref="B50:I5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F6984-5192-4982-BC67-6C75814E9B30}">
  <sheetPr codeName="Sheet9"/>
  <dimension ref="B3:I32"/>
  <sheetViews>
    <sheetView workbookViewId="0">
      <selection activeCell="J20" sqref="J20"/>
    </sheetView>
  </sheetViews>
  <sheetFormatPr defaultRowHeight="14.4" x14ac:dyDescent="0.3"/>
  <cols>
    <col min="2" max="2" width="21.5546875" customWidth="1"/>
    <col min="3" max="9" width="11.109375" customWidth="1"/>
  </cols>
  <sheetData>
    <row r="3" spans="2:9" x14ac:dyDescent="0.3">
      <c r="B3" t="s">
        <v>265</v>
      </c>
    </row>
    <row r="4" spans="2:9" ht="60.6" x14ac:dyDescent="0.3">
      <c r="B4" s="22" t="s">
        <v>169</v>
      </c>
      <c r="C4" s="22" t="s">
        <v>170</v>
      </c>
      <c r="D4" s="22" t="s">
        <v>171</v>
      </c>
      <c r="E4" s="22" t="s">
        <v>172</v>
      </c>
      <c r="F4" s="22" t="s">
        <v>173</v>
      </c>
      <c r="G4" s="22" t="s">
        <v>174</v>
      </c>
      <c r="H4" s="22" t="s">
        <v>175</v>
      </c>
      <c r="I4" s="22" t="s">
        <v>266</v>
      </c>
    </row>
    <row r="5" spans="2:9" x14ac:dyDescent="0.3">
      <c r="B5" s="23" t="s">
        <v>176</v>
      </c>
      <c r="C5" s="23" t="s">
        <v>177</v>
      </c>
      <c r="D5" s="24">
        <v>0.626876931931724</v>
      </c>
      <c r="E5" s="24">
        <v>9.8340300000000003</v>
      </c>
      <c r="F5" s="24">
        <v>0.19870808254514186</v>
      </c>
      <c r="G5" s="24">
        <v>3.8177000000000003</v>
      </c>
      <c r="H5" s="24">
        <v>5.7190781332029497</v>
      </c>
      <c r="I5" s="25">
        <v>6.9684919128675673E-7</v>
      </c>
    </row>
    <row r="6" spans="2:9" x14ac:dyDescent="0.3">
      <c r="B6" s="23" t="s">
        <v>178</v>
      </c>
      <c r="C6" s="23" t="s">
        <v>179</v>
      </c>
      <c r="D6" s="24">
        <v>0.34333777687595801</v>
      </c>
      <c r="E6" s="24">
        <v>10.03415</v>
      </c>
      <c r="F6" s="24">
        <v>8.9976593102130506E-2</v>
      </c>
      <c r="G6" s="24">
        <v>11.952960000000003</v>
      </c>
      <c r="H6" s="24">
        <v>52.372845529447581</v>
      </c>
      <c r="I6" s="25">
        <v>9.044412780746021E-7</v>
      </c>
    </row>
    <row r="7" spans="2:9" x14ac:dyDescent="0.3">
      <c r="B7" s="23" t="s">
        <v>180</v>
      </c>
      <c r="C7" s="23" t="s">
        <v>181</v>
      </c>
      <c r="D7" s="24">
        <v>0.46848859121382802</v>
      </c>
      <c r="E7" s="24">
        <v>9.59633</v>
      </c>
      <c r="F7" s="24">
        <v>0.15711474156873984</v>
      </c>
      <c r="G7" s="24">
        <v>2.2181799999999998</v>
      </c>
      <c r="H7" s="24">
        <v>183.30298036307627</v>
      </c>
      <c r="I7" s="25">
        <v>6.131083854509626E-7</v>
      </c>
    </row>
    <row r="8" spans="2:9" x14ac:dyDescent="0.3">
      <c r="B8" s="23" t="s">
        <v>182</v>
      </c>
      <c r="C8" s="23" t="s">
        <v>183</v>
      </c>
      <c r="D8" s="24">
        <v>0.33091867870451402</v>
      </c>
      <c r="E8" s="24">
        <v>9.1280099999999997</v>
      </c>
      <c r="F8" s="24">
        <v>0.1314481226712525</v>
      </c>
      <c r="G8" s="24">
        <v>2.1984600000000003</v>
      </c>
      <c r="H8" s="24">
        <v>48.092292627882024</v>
      </c>
      <c r="I8" s="25">
        <v>6.3682466932317632E-7</v>
      </c>
    </row>
    <row r="9" spans="2:9" x14ac:dyDescent="0.3">
      <c r="B9" s="23" t="s">
        <v>184</v>
      </c>
      <c r="C9" s="23" t="s">
        <v>185</v>
      </c>
      <c r="D9" s="24">
        <v>0.48604986577937098</v>
      </c>
      <c r="E9" s="24">
        <v>9.1159400000000002</v>
      </c>
      <c r="F9" s="24">
        <v>0.18211975733256902</v>
      </c>
      <c r="G9" s="24">
        <v>4.0099200000000002</v>
      </c>
      <c r="H9" s="24">
        <v>35.476442872370114</v>
      </c>
      <c r="I9" s="25">
        <v>4.2285070500579669E-7</v>
      </c>
    </row>
    <row r="10" spans="2:9" x14ac:dyDescent="0.3">
      <c r="B10" s="23" t="s">
        <v>186</v>
      </c>
      <c r="C10" s="23" t="s">
        <v>187</v>
      </c>
      <c r="D10" s="24">
        <v>0.50308589235010104</v>
      </c>
      <c r="E10" s="24">
        <v>8.7490299999999994</v>
      </c>
      <c r="F10" s="24">
        <v>0.19518008980605711</v>
      </c>
      <c r="G10" s="24">
        <v>2.2692600000000001</v>
      </c>
      <c r="H10" s="24">
        <v>3.889371334994026</v>
      </c>
      <c r="I10" s="25">
        <v>6.9272215741181224E-7</v>
      </c>
    </row>
    <row r="11" spans="2:9" x14ac:dyDescent="0.3">
      <c r="B11" s="23" t="s">
        <v>188</v>
      </c>
      <c r="C11" s="23" t="s">
        <v>189</v>
      </c>
      <c r="D11" s="24">
        <v>0.63238001245713504</v>
      </c>
      <c r="E11" s="24">
        <v>9.8384099999999997</v>
      </c>
      <c r="F11" s="24">
        <v>0.11521496130696475</v>
      </c>
      <c r="G11" s="24">
        <v>2.2216</v>
      </c>
      <c r="H11" s="24">
        <v>7.8979611743470466</v>
      </c>
      <c r="I11" s="25">
        <v>6.4637872554169766E-7</v>
      </c>
    </row>
    <row r="12" spans="2:9" x14ac:dyDescent="0.3">
      <c r="B12" s="23" t="s">
        <v>190</v>
      </c>
      <c r="C12" s="23" t="s">
        <v>191</v>
      </c>
      <c r="D12" s="24">
        <v>0.83367464270001601</v>
      </c>
      <c r="E12" s="24">
        <v>10.33497</v>
      </c>
      <c r="F12" s="24">
        <v>0.16819313079201298</v>
      </c>
      <c r="G12" s="24">
        <v>1.9707200000000005</v>
      </c>
      <c r="H12" s="24">
        <v>18.270701459183929</v>
      </c>
      <c r="I12" s="25">
        <v>1.2482891880265766E-6</v>
      </c>
    </row>
    <row r="13" spans="2:9" x14ac:dyDescent="0.3">
      <c r="B13" s="23" t="s">
        <v>192</v>
      </c>
      <c r="C13" s="23" t="s">
        <v>193</v>
      </c>
      <c r="D13" s="24">
        <v>0.83103340268524895</v>
      </c>
      <c r="E13" s="24">
        <v>10.40114</v>
      </c>
      <c r="F13" s="24">
        <v>0.27466418266934173</v>
      </c>
      <c r="G13" s="24">
        <v>3.3122400000000001</v>
      </c>
      <c r="H13" s="24">
        <v>3.5556926561928539</v>
      </c>
      <c r="I13" s="25">
        <v>1.6032653329965796E-6</v>
      </c>
    </row>
    <row r="14" spans="2:9" x14ac:dyDescent="0.3">
      <c r="B14" s="23" t="s">
        <v>194</v>
      </c>
      <c r="C14" s="23" t="s">
        <v>195</v>
      </c>
      <c r="D14" s="24">
        <v>0.50452271503606705</v>
      </c>
      <c r="E14" s="24">
        <v>10.291930000000001</v>
      </c>
      <c r="F14" s="24">
        <v>0.15346589280596157</v>
      </c>
      <c r="G14" s="24">
        <v>2.5026199999999998</v>
      </c>
      <c r="H14" s="24">
        <v>18.116947045537021</v>
      </c>
      <c r="I14" s="25">
        <v>1.008028972116615E-6</v>
      </c>
    </row>
    <row r="15" spans="2:9" x14ac:dyDescent="0.3">
      <c r="B15" s="23" t="s">
        <v>196</v>
      </c>
      <c r="C15" s="23" t="s">
        <v>197</v>
      </c>
      <c r="D15" s="24">
        <v>0.32811209305032701</v>
      </c>
      <c r="E15" s="24">
        <v>9.2655999999999992</v>
      </c>
      <c r="F15" s="24">
        <v>0.13047673640966848</v>
      </c>
      <c r="G15" s="24">
        <v>1.9631300000000003</v>
      </c>
      <c r="H15" s="24">
        <v>1.5960592190406055</v>
      </c>
      <c r="I15" s="25">
        <v>6.9897533621248827E-7</v>
      </c>
    </row>
    <row r="16" spans="2:9" x14ac:dyDescent="0.3">
      <c r="B16" s="23" t="s">
        <v>198</v>
      </c>
      <c r="C16" s="23" t="s">
        <v>199</v>
      </c>
      <c r="D16" s="24">
        <v>0.33462695530067998</v>
      </c>
      <c r="E16" s="24">
        <v>9.8219799999999999</v>
      </c>
      <c r="F16" s="24">
        <v>0.11204523741282124</v>
      </c>
      <c r="G16" s="24">
        <v>6.1152600000000001</v>
      </c>
      <c r="H16" s="24">
        <v>83.522067421699717</v>
      </c>
      <c r="I16" s="25">
        <v>5.2248388649841586E-7</v>
      </c>
    </row>
    <row r="17" spans="2:9" x14ac:dyDescent="0.3">
      <c r="B17" s="23" t="s">
        <v>200</v>
      </c>
      <c r="C17" s="23" t="s">
        <v>201</v>
      </c>
      <c r="D17" s="24">
        <v>0.49797097746611402</v>
      </c>
      <c r="E17" s="24">
        <v>8.2610600000000005</v>
      </c>
      <c r="F17" s="24">
        <v>0.22477906754561955</v>
      </c>
      <c r="G17" s="24">
        <v>2.1778200000000001</v>
      </c>
      <c r="H17" s="24">
        <v>0.95796587458505533</v>
      </c>
      <c r="I17" s="25">
        <v>4.0876981872376922E-7</v>
      </c>
    </row>
    <row r="18" spans="2:9" x14ac:dyDescent="0.3">
      <c r="B18" s="23" t="s">
        <v>202</v>
      </c>
      <c r="C18" s="23" t="s">
        <v>203</v>
      </c>
      <c r="D18" s="24">
        <v>0.66105715695808198</v>
      </c>
      <c r="E18" s="24">
        <v>10.31911</v>
      </c>
      <c r="F18" s="24">
        <v>0.25834479793637144</v>
      </c>
      <c r="G18" s="24">
        <v>2.1429400000000003</v>
      </c>
      <c r="H18" s="24">
        <v>2.4298924904302361</v>
      </c>
      <c r="I18" s="25">
        <v>6.0276541576836983E-7</v>
      </c>
    </row>
    <row r="19" spans="2:9" x14ac:dyDescent="0.3">
      <c r="B19" s="23" t="s">
        <v>204</v>
      </c>
      <c r="C19" s="23" t="s">
        <v>205</v>
      </c>
      <c r="D19" s="24">
        <v>0.148144584865324</v>
      </c>
      <c r="E19" s="24">
        <v>9.6837</v>
      </c>
      <c r="F19" s="24">
        <v>6.2249211808541129E-2</v>
      </c>
      <c r="G19" s="24">
        <v>1.5522400000000003</v>
      </c>
      <c r="H19" s="24">
        <v>1.0132004109812243</v>
      </c>
      <c r="I19" s="25">
        <v>7.5612570208101003E-7</v>
      </c>
    </row>
    <row r="20" spans="2:9" x14ac:dyDescent="0.3">
      <c r="B20" s="23" t="s">
        <v>206</v>
      </c>
      <c r="C20" s="23" t="s">
        <v>207</v>
      </c>
      <c r="D20" s="24">
        <v>0.37766806981515699</v>
      </c>
      <c r="E20" s="24">
        <v>9.4920799999999996</v>
      </c>
      <c r="F20" s="24">
        <v>0.13997348810547433</v>
      </c>
      <c r="G20" s="24">
        <v>2.20404</v>
      </c>
      <c r="H20" s="24">
        <v>1.7461992662215859</v>
      </c>
      <c r="I20" s="25">
        <v>3.6289195168254664E-7</v>
      </c>
    </row>
    <row r="21" spans="2:9" x14ac:dyDescent="0.3">
      <c r="B21" s="23" t="s">
        <v>208</v>
      </c>
      <c r="C21" s="23" t="s">
        <v>209</v>
      </c>
      <c r="D21" s="24">
        <v>0.65132590352468001</v>
      </c>
      <c r="E21" s="24">
        <v>10.182980000000001</v>
      </c>
      <c r="F21" s="24">
        <v>0.20333070602847042</v>
      </c>
      <c r="G21" s="24">
        <v>1.9947000000000004</v>
      </c>
      <c r="H21" s="24">
        <v>1.6004966786938188</v>
      </c>
      <c r="I21" s="25">
        <v>1.1020159389554631E-6</v>
      </c>
    </row>
    <row r="22" spans="2:9" x14ac:dyDescent="0.3">
      <c r="B22" s="23" t="s">
        <v>210</v>
      </c>
      <c r="C22" s="23" t="s">
        <v>211</v>
      </c>
      <c r="D22" s="24">
        <v>0.56387223218844695</v>
      </c>
      <c r="E22" s="24">
        <v>10.2317</v>
      </c>
      <c r="F22" s="24">
        <v>0.18592003439380911</v>
      </c>
      <c r="G22" s="24">
        <v>2.10764</v>
      </c>
      <c r="H22" s="24">
        <v>1.6973158086308409</v>
      </c>
      <c r="I22" s="25">
        <v>9.828094694080815E-7</v>
      </c>
    </row>
    <row r="23" spans="2:9" x14ac:dyDescent="0.3">
      <c r="B23" s="23" t="s">
        <v>212</v>
      </c>
      <c r="C23" s="23" t="s">
        <v>213</v>
      </c>
      <c r="D23" s="24">
        <v>0.57105157929892603</v>
      </c>
      <c r="E23" s="24">
        <v>10.250080000000001</v>
      </c>
      <c r="F23" s="24">
        <v>0.18091836247253273</v>
      </c>
      <c r="G23" s="24">
        <v>2.5556200000000002</v>
      </c>
      <c r="H23" s="24">
        <v>117.45939937101082</v>
      </c>
      <c r="I23" s="25">
        <v>8.5164916116084728E-7</v>
      </c>
    </row>
    <row r="24" spans="2:9" x14ac:dyDescent="0.3">
      <c r="B24" s="23" t="s">
        <v>214</v>
      </c>
      <c r="C24" s="23" t="s">
        <v>215</v>
      </c>
      <c r="D24" s="24">
        <v>0.52667035324437605</v>
      </c>
      <c r="E24" s="24">
        <v>10.540979999999999</v>
      </c>
      <c r="F24" s="24">
        <v>0.16452780166236741</v>
      </c>
      <c r="G24" s="24">
        <v>1.5245400000000002</v>
      </c>
      <c r="H24" s="24">
        <v>2.2356408279755975</v>
      </c>
      <c r="I24" s="25">
        <v>6.3792312796012773E-7</v>
      </c>
    </row>
    <row r="25" spans="2:9" x14ac:dyDescent="0.3">
      <c r="B25" s="23" t="s">
        <v>216</v>
      </c>
      <c r="C25" s="23" t="s">
        <v>217</v>
      </c>
      <c r="D25" s="24">
        <v>0.56610344858386097</v>
      </c>
      <c r="E25" s="24">
        <v>9.9425699999999999</v>
      </c>
      <c r="F25" s="24">
        <v>0.18636452660743288</v>
      </c>
      <c r="G25" s="24">
        <v>4.8478200000000005</v>
      </c>
      <c r="H25" s="24">
        <v>15.210328149829122</v>
      </c>
      <c r="I25" s="25">
        <v>6.6938193686527805E-7</v>
      </c>
    </row>
    <row r="26" spans="2:9" x14ac:dyDescent="0.3">
      <c r="B26" s="23" t="s">
        <v>218</v>
      </c>
      <c r="C26" s="23" t="s">
        <v>219</v>
      </c>
      <c r="D26" s="24">
        <v>0.49461763595915498</v>
      </c>
      <c r="E26" s="24">
        <v>8.9381299999999992</v>
      </c>
      <c r="F26" s="24">
        <v>0.20811932740995509</v>
      </c>
      <c r="G26" s="24">
        <v>2.6884000000000001</v>
      </c>
      <c r="H26" s="24">
        <v>2.4155908238814132</v>
      </c>
      <c r="I26" s="25">
        <v>7.6892699324728231E-7</v>
      </c>
    </row>
    <row r="27" spans="2:9" x14ac:dyDescent="0.3">
      <c r="B27" s="23" t="s">
        <v>220</v>
      </c>
      <c r="C27" s="23" t="s">
        <v>221</v>
      </c>
      <c r="D27" s="24">
        <v>0.78109318570478803</v>
      </c>
      <c r="E27" s="24">
        <v>10.56668</v>
      </c>
      <c r="F27" s="24">
        <v>0.26101700582783988</v>
      </c>
      <c r="G27" s="24">
        <v>2.5441400000000005</v>
      </c>
      <c r="H27" s="24">
        <v>2.3196655251549569</v>
      </c>
      <c r="I27" s="25">
        <v>8.0090171802107843E-7</v>
      </c>
    </row>
    <row r="28" spans="2:9" x14ac:dyDescent="0.3">
      <c r="B28" s="23" t="s">
        <v>222</v>
      </c>
      <c r="C28" s="23" t="s">
        <v>223</v>
      </c>
      <c r="D28" s="24">
        <v>0.50785778086104305</v>
      </c>
      <c r="E28" s="24">
        <v>9.3312600000000003</v>
      </c>
      <c r="F28" s="24">
        <v>0.1844762109486959</v>
      </c>
      <c r="G28" s="24">
        <v>3.2265600000000005</v>
      </c>
      <c r="H28" s="24">
        <v>2.6766872311287799</v>
      </c>
      <c r="I28" s="25">
        <v>1.1000129965595438E-6</v>
      </c>
    </row>
    <row r="29" spans="2:9" x14ac:dyDescent="0.3">
      <c r="B29" s="23" t="s">
        <v>224</v>
      </c>
      <c r="C29" s="23" t="s">
        <v>225</v>
      </c>
      <c r="D29" s="24">
        <v>0.63478936500349104</v>
      </c>
      <c r="E29" s="24">
        <v>12.11088</v>
      </c>
      <c r="F29" s="24">
        <v>0.21932573803382055</v>
      </c>
      <c r="G29" s="24">
        <v>5.4377800000000001</v>
      </c>
      <c r="H29" s="24">
        <v>3.4473940825312419</v>
      </c>
      <c r="I29" s="25">
        <v>6.9914939054833876E-7</v>
      </c>
    </row>
    <row r="30" spans="2:9" x14ac:dyDescent="0.3">
      <c r="B30" s="23" t="s">
        <v>226</v>
      </c>
      <c r="C30" s="23" t="s">
        <v>227</v>
      </c>
      <c r="D30" s="24">
        <v>0.36234612998337401</v>
      </c>
      <c r="E30" s="24">
        <v>9.9428999999999998</v>
      </c>
      <c r="F30" s="24">
        <v>0.10622790675456194</v>
      </c>
      <c r="G30" s="24">
        <v>2.6829000000000001</v>
      </c>
      <c r="H30" s="24">
        <v>2.5804432772198824</v>
      </c>
      <c r="I30" s="25">
        <v>9.3697700295990834E-7</v>
      </c>
    </row>
    <row r="31" spans="2:9" x14ac:dyDescent="0.3">
      <c r="B31" s="23" t="s">
        <v>228</v>
      </c>
      <c r="C31" s="23" t="s">
        <v>230</v>
      </c>
      <c r="D31" s="24">
        <v>0.75384253789439903</v>
      </c>
      <c r="E31" s="24">
        <v>9.8965779603099708</v>
      </c>
      <c r="F31" s="24">
        <v>0.16949156083838801</v>
      </c>
      <c r="G31" s="24">
        <v>2.1254999999999997</v>
      </c>
      <c r="H31" s="24">
        <v>8.5049520943954935</v>
      </c>
      <c r="I31" s="25">
        <v>6.3405075958736154E-7</v>
      </c>
    </row>
    <row r="32" spans="2:9" x14ac:dyDescent="0.3">
      <c r="B32" s="23" t="s">
        <v>229</v>
      </c>
      <c r="C32" s="23" t="s">
        <v>229</v>
      </c>
      <c r="D32" s="24">
        <v>0.48059219210729598</v>
      </c>
      <c r="E32" s="24">
        <v>9.7920086992076598</v>
      </c>
      <c r="F32" s="24">
        <v>0.1672212668386357</v>
      </c>
      <c r="G32" s="24">
        <v>3.0413900155427593</v>
      </c>
      <c r="H32" s="24">
        <v>27.637343089175019</v>
      </c>
      <c r="I32" s="25">
        <v>1.1020159389554631E-6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842EB-F2C4-44B8-B056-4FDAF1AFB16A}">
  <sheetPr codeName="Sheet7"/>
  <dimension ref="B2:F9"/>
  <sheetViews>
    <sheetView workbookViewId="0">
      <selection activeCell="F8" sqref="F8"/>
    </sheetView>
  </sheetViews>
  <sheetFormatPr defaultRowHeight="14.4" x14ac:dyDescent="0.3"/>
  <cols>
    <col min="1" max="1" width="15.109375" customWidth="1"/>
    <col min="2" max="2" width="17.109375" customWidth="1"/>
    <col min="3" max="3" width="6" customWidth="1"/>
    <col min="5" max="5" width="9.5546875" bestFit="1" customWidth="1"/>
  </cols>
  <sheetData>
    <row r="2" spans="2:6" x14ac:dyDescent="0.3">
      <c r="E2" s="26">
        <v>45705</v>
      </c>
      <c r="F2" s="26">
        <v>45756</v>
      </c>
    </row>
    <row r="3" spans="2:6" x14ac:dyDescent="0.3">
      <c r="B3" t="s">
        <v>232</v>
      </c>
      <c r="E3">
        <v>3544</v>
      </c>
      <c r="F3">
        <v>4099</v>
      </c>
    </row>
    <row r="4" spans="2:6" x14ac:dyDescent="0.3">
      <c r="B4" t="s">
        <v>99</v>
      </c>
      <c r="D4">
        <v>314</v>
      </c>
      <c r="E4">
        <v>314</v>
      </c>
      <c r="F4">
        <v>331</v>
      </c>
    </row>
    <row r="5" spans="2:6" x14ac:dyDescent="0.3">
      <c r="B5" t="s">
        <v>100</v>
      </c>
      <c r="D5">
        <v>452</v>
      </c>
      <c r="E5">
        <v>537</v>
      </c>
      <c r="F5">
        <v>928</v>
      </c>
    </row>
    <row r="6" spans="2:6" x14ac:dyDescent="0.3">
      <c r="B6" t="s">
        <v>101</v>
      </c>
      <c r="D6">
        <v>712</v>
      </c>
      <c r="E6">
        <v>615</v>
      </c>
      <c r="F6">
        <v>402</v>
      </c>
    </row>
    <row r="7" spans="2:6" x14ac:dyDescent="0.3">
      <c r="B7" t="s">
        <v>102</v>
      </c>
      <c r="D7">
        <v>661</v>
      </c>
      <c r="E7">
        <v>655</v>
      </c>
      <c r="F7">
        <v>684</v>
      </c>
    </row>
    <row r="8" spans="2:6" x14ac:dyDescent="0.3">
      <c r="B8" t="s">
        <v>103</v>
      </c>
      <c r="C8">
        <v>4</v>
      </c>
      <c r="D8">
        <f>C8*200</f>
        <v>800</v>
      </c>
      <c r="E8">
        <f>C8*200</f>
        <v>800</v>
      </c>
      <c r="F8">
        <v>600</v>
      </c>
    </row>
    <row r="9" spans="2:6" x14ac:dyDescent="0.3">
      <c r="D9">
        <f>SUM(D4:D8)</f>
        <v>2939</v>
      </c>
      <c r="E9">
        <f>SUM(E4:E8)</f>
        <v>2921</v>
      </c>
      <c r="F9">
        <f>SUM(F4:F8)</f>
        <v>2945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AEA92F818099A48BDEA15D399FBF140" ma:contentTypeVersion="18" ma:contentTypeDescription="Create a new document." ma:contentTypeScope="" ma:versionID="5c1ce80349f100c77ecc9289cadbcf24">
  <xsd:schema xmlns:xsd="http://www.w3.org/2001/XMLSchema" xmlns:xs="http://www.w3.org/2001/XMLSchema" xmlns:p="http://schemas.microsoft.com/office/2006/metadata/properties" xmlns:ns2="f32e4ece-4232-4718-b5ba-4f312eb55289" xmlns:ns3="9afc3e17-fd1c-4af7-ae0c-7ae9d1230a0c" targetNamespace="http://schemas.microsoft.com/office/2006/metadata/properties" ma:root="true" ma:fieldsID="49c6d662fa9acd421fa7aa6c6bb97210" ns2:_="" ns3:_="">
    <xsd:import namespace="f32e4ece-4232-4718-b5ba-4f312eb55289"/>
    <xsd:import namespace="9afc3e17-fd1c-4af7-ae0c-7ae9d1230a0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CR"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2e4ece-4232-4718-b5ba-4f312eb552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896de28-cb53-43b9-a38b-bef149b2430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afc3e17-fd1c-4af7-ae0c-7ae9d1230a0c"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8d4d748-e1f1-4e8d-8675-726c5b61e97e}" ma:internalName="TaxCatchAll" ma:showField="CatchAllData" ma:web="9afc3e17-fd1c-4af7-ae0c-7ae9d1230a0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1CBF82C-DE99-40D3-8F0D-D204E2328428}">
  <ds:schemaRefs>
    <ds:schemaRef ds:uri="http://schemas.microsoft.com/sharepoint/v3/contenttype/forms"/>
  </ds:schemaRefs>
</ds:datastoreItem>
</file>

<file path=customXml/itemProps2.xml><?xml version="1.0" encoding="utf-8"?>
<ds:datastoreItem xmlns:ds="http://schemas.openxmlformats.org/officeDocument/2006/customXml" ds:itemID="{FE0D8E2A-6A6D-4455-8401-4BD871DB18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2e4ece-4232-4718-b5ba-4f312eb55289"/>
    <ds:schemaRef ds:uri="9afc3e17-fd1c-4af7-ae0c-7ae9d1230a0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 Dictionary</vt:lpstr>
      <vt:lpstr>Table 1</vt:lpstr>
      <vt:lpstr>SI Table 1</vt:lpstr>
      <vt:lpstr>SI Table 2</vt:lpstr>
      <vt:lpstr>SI Table 3</vt:lpstr>
      <vt:lpstr>SI Table 4</vt:lpstr>
      <vt:lpstr>SI Table 5</vt:lpstr>
      <vt:lpstr>SI Table 6</vt:lpstr>
      <vt:lpstr>SI Table 7</vt:lpstr>
      <vt:lpstr>word count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Arden</dc:creator>
  <cp:lastModifiedBy>Sam Arden</cp:lastModifiedBy>
  <dcterms:created xsi:type="dcterms:W3CDTF">2015-06-05T18:17:20Z</dcterms:created>
  <dcterms:modified xsi:type="dcterms:W3CDTF">2025-06-17T14:21:38Z</dcterms:modified>
</cp:coreProperties>
</file>